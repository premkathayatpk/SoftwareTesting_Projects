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emk\Downloads\"/>
    </mc:Choice>
  </mc:AlternateContent>
  <xr:revisionPtr revIDLastSave="0" documentId="13_ncr:1_{1D5B7E0E-B198-4878-9F20-0F6E3B214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  <sheet name="Dashboar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F19" i="1" s="1"/>
  <c r="C19" i="1"/>
  <c r="E19" i="1" s="1"/>
  <c r="F18" i="1"/>
  <c r="D18" i="1"/>
  <c r="C18" i="1"/>
  <c r="E18" i="1" s="1"/>
  <c r="D17" i="1"/>
  <c r="F17" i="1" s="1"/>
  <c r="C17" i="1"/>
  <c r="E17" i="1" s="1"/>
  <c r="F16" i="1"/>
  <c r="D16" i="1"/>
  <c r="C16" i="1"/>
  <c r="E16" i="1" s="1"/>
  <c r="D15" i="1"/>
  <c r="F15" i="1" s="1"/>
  <c r="C15" i="1"/>
  <c r="E15" i="1" s="1"/>
  <c r="F14" i="1"/>
  <c r="D14" i="1"/>
  <c r="C14" i="1"/>
  <c r="E14" i="1" s="1"/>
  <c r="D13" i="1"/>
  <c r="F13" i="1" s="1"/>
  <c r="C13" i="1"/>
  <c r="E13" i="1" s="1"/>
  <c r="F12" i="1"/>
  <c r="D12" i="1"/>
  <c r="D20" i="1" s="1"/>
  <c r="C12" i="1"/>
  <c r="E12" i="1" s="1"/>
  <c r="D6" i="1"/>
  <c r="F6" i="1" s="1"/>
  <c r="B6" i="1"/>
  <c r="E20" i="1" l="1"/>
  <c r="C20" i="1"/>
  <c r="F20" i="1" s="1"/>
</calcChain>
</file>

<file path=xl/sharedStrings.xml><?xml version="1.0" encoding="utf-8"?>
<sst xmlns="http://schemas.openxmlformats.org/spreadsheetml/2006/main" count="449" uniqueCount="318">
  <si>
    <t>QA Test Execution Dashboard</t>
  </si>
  <si>
    <t>Summary of Test Execution Results &amp; Module Metrics</t>
  </si>
  <si>
    <t>Total Test Cases</t>
  </si>
  <si>
    <t>Passed Tests</t>
  </si>
  <si>
    <t>Pass Rate</t>
  </si>
  <si>
    <t>Module Breakdown</t>
  </si>
  <si>
    <t>Module / Feature</t>
  </si>
  <si>
    <t>Total Tests</t>
  </si>
  <si>
    <t>Passed</t>
  </si>
  <si>
    <t>Failed</t>
  </si>
  <si>
    <t>Success Rate</t>
  </si>
  <si>
    <t>Registration</t>
  </si>
  <si>
    <t>Login</t>
  </si>
  <si>
    <t>Profile</t>
  </si>
  <si>
    <t>Search</t>
  </si>
  <si>
    <t>Chat</t>
  </si>
  <si>
    <t>Socket.IO</t>
  </si>
  <si>
    <t>Authentication</t>
  </si>
  <si>
    <t>Security</t>
  </si>
  <si>
    <t>Total</t>
  </si>
  <si>
    <t>Test Case ID</t>
  </si>
  <si>
    <t>Test Scenario</t>
  </si>
  <si>
    <t>Priority</t>
  </si>
  <si>
    <t>Pre-conditions</t>
  </si>
  <si>
    <t>Test Steps</t>
  </si>
  <si>
    <t>Test Data</t>
  </si>
  <si>
    <t>Expected Result</t>
  </si>
  <si>
    <t>Actual Result</t>
  </si>
  <si>
    <t>Status</t>
  </si>
  <si>
    <t>Remarks</t>
  </si>
  <si>
    <t>TC-001</t>
  </si>
  <si>
    <t>Registration with valid details</t>
  </si>
  <si>
    <t>High</t>
  </si>
  <si>
    <t>Application is running</t>
  </si>
  <si>
    <t>1. Open Registration page.
2. Enter valid Name, Email and Password.
3. Click Register.</t>
  </si>
  <si>
    <t>Name: Prem Kathayat
Email: prem@gmail.com
Password: Prem@123</t>
  </si>
  <si>
    <t>User account is created successfully and redirected to the login page.</t>
  </si>
  <si>
    <t>User account created successfully and redirected to login page.</t>
  </si>
  <si>
    <t>Pass</t>
  </si>
  <si>
    <t>Working as expected</t>
  </si>
  <si>
    <t>TC-002</t>
  </si>
  <si>
    <t>Registration with existing email</t>
  </si>
  <si>
    <t>An account with the email already exists</t>
  </si>
  <si>
    <t>1. Open Registration page.
2. Enter an already registered email.
3. Click Register.</t>
  </si>
  <si>
    <t>Email: prem@gmail.com</t>
  </si>
  <si>
    <t>System should display "Email already exists."</t>
  </si>
  <si>
    <t>Error message displayed correctly.</t>
  </si>
  <si>
    <t>Duplicate validation works</t>
  </si>
  <si>
    <t>TC-003</t>
  </si>
  <si>
    <t>Registration with empty required fields</t>
  </si>
  <si>
    <t>1. Open Registration page.
2. Leave all fields blank.
3. Click Register.</t>
  </si>
  <si>
    <t>Empty fields</t>
  </si>
  <si>
    <t>Validation messages should appear for all required fields.</t>
  </si>
  <si>
    <t>Validation messages displayed correctly.</t>
  </si>
  <si>
    <t>Required field validation passed</t>
  </si>
  <si>
    <t>TC-004</t>
  </si>
  <si>
    <t>Registration with invalid email format</t>
  </si>
  <si>
    <t>1. Enter invalid email format.
2. Fill remaining fields.
3. Submit the form.</t>
  </si>
  <si>
    <t>Email: premgmail.com</t>
  </si>
  <si>
    <t>System should display "Invalid email address."</t>
  </si>
  <si>
    <t>Invalid email validation displayed.</t>
  </si>
  <si>
    <t>Email validation successful</t>
  </si>
  <si>
    <t>TC-005</t>
  </si>
  <si>
    <t>Registration with weak password</t>
  </si>
  <si>
    <t>1. Enter a password shorter than the minimum requirement.
2. Submit the form.</t>
  </si>
  <si>
    <t>Password: 12345</t>
  </si>
  <si>
    <t>System should reject the password and display an appropriate validation message.</t>
  </si>
  <si>
    <t>Password validation displayed successfully.</t>
  </si>
  <si>
    <t>Password policy enforced</t>
  </si>
  <si>
    <t>TC-006</t>
  </si>
  <si>
    <t>Registration with password confirmation mismatch (if applicable)</t>
  </si>
  <si>
    <t>1. Enter different Password and Confirm Password values.
2. Submit the form.</t>
  </si>
  <si>
    <t>Password: Prem@123
Confirm Password: Prem@456</t>
  </si>
  <si>
    <t>System should display "Passwords do not match."</t>
  </si>
  <si>
    <t>Validation message displayed correctly.</t>
  </si>
  <si>
    <t>Password confirmation validation works</t>
  </si>
  <si>
    <t>TC-007</t>
  </si>
  <si>
    <t>Login with valid credentials</t>
  </si>
  <si>
    <t>User account is already registered and application is running</t>
  </si>
  <si>
    <t>1. Open the Login page.
2. Enter a valid email and password.
3. Click Login.</t>
  </si>
  <si>
    <t>Email: prem@gmail.com
Password: Prem@123</t>
  </si>
  <si>
    <t>User is authenticated successfully and redirected to the home/chat page.</t>
  </si>
  <si>
    <t>User logged in successfully and redirected to the chat dashboard.</t>
  </si>
  <si>
    <t>Login functionality works correctly.</t>
  </si>
  <si>
    <t>TC-008</t>
  </si>
  <si>
    <t>Login with invalid password</t>
  </si>
  <si>
    <t>Registered user exists</t>
  </si>
  <si>
    <t>1. Open the Login page.
2. Enter a valid email and incorrect password.
3. Click Login.</t>
  </si>
  <si>
    <t>Email: prem@gmail.com
Password: Wrong@123</t>
  </si>
  <si>
    <t>System should display "Invalid credentials" and prevent login.</t>
  </si>
  <si>
    <t>Error message displayed and login denied.</t>
  </si>
  <si>
    <t>Password validation works correctly.</t>
  </si>
  <si>
    <t>TC-009</t>
  </si>
  <si>
    <t>Login with unregistered email</t>
  </si>
  <si>
    <t>1. Open the Login page.
2. Enter an email that is not registered.
3. Enter any password.
4. Click Login.</t>
  </si>
  <si>
    <t>Email: test123@gmail.com
Password: Prem@123</t>
  </si>
  <si>
    <t>System should display "User not found" or "Invalid credentials".</t>
  </si>
  <si>
    <t>Appropriate error message displayed.</t>
  </si>
  <si>
    <t>Unregistered users cannot log in.</t>
  </si>
  <si>
    <t>TC-010</t>
  </si>
  <si>
    <t>Login with empty email and password</t>
  </si>
  <si>
    <t>1. Open the Login page.
2. Leave both fields empty.
3. Click Login.</t>
  </si>
  <si>
    <t>Email: (blank)
Password: (blank)</t>
  </si>
  <si>
    <t>System should display validation messages indicating that required fields are missing.</t>
  </si>
  <si>
    <t>Validation messages displayed successfully.</t>
  </si>
  <si>
    <t>Required field validation passed.</t>
  </si>
  <si>
    <t>TC-011</t>
  </si>
  <si>
    <t>Login with invalid email format</t>
  </si>
  <si>
    <t>1. Open the Login page.
2. Enter an invalid email format.
3. Enter a valid password.
4. Click Login.</t>
  </si>
  <si>
    <t>Email: premgmail.com
Password: Prem@123</t>
  </si>
  <si>
    <t>System should display "Invalid email format" and prevent login.</t>
  </si>
  <si>
    <t>Invalid email validation displayed successfully.</t>
  </si>
  <si>
    <t>Email format validation works correctly.</t>
  </si>
  <si>
    <t>TC-012</t>
  </si>
  <si>
    <t>Login with JWT session validation</t>
  </si>
  <si>
    <t>User is already logged in and JWT token is stored</t>
  </si>
  <si>
    <t>1. Log in successfully.
2. Refresh the browser.
3. Observe the application state.</t>
  </si>
  <si>
    <t>Valid JWT Token</t>
  </si>
  <si>
    <t>User should remain logged in without being redirected to the login page.</t>
  </si>
  <si>
    <t>Session persisted successfully after page refresh.</t>
  </si>
  <si>
    <t>JWT authentication works correctly.</t>
  </si>
  <si>
    <t>TC-013</t>
  </si>
  <si>
    <t>View user profile</t>
  </si>
  <si>
    <t>User is logged in</t>
  </si>
  <si>
    <t>1. Log in to the application.
2. Navigate to the Profile page.
3. Observe the displayed information.</t>
  </si>
  <si>
    <t>Valid logged-in user</t>
  </si>
  <si>
    <t>User profile information (Name, Email, Profile Picture) should be displayed correctly.</t>
  </si>
  <si>
    <t>Profile information displayed successfully.</t>
  </si>
  <si>
    <t>Profile data loaded correctly.</t>
  </si>
  <si>
    <t>TC-014</t>
  </si>
  <si>
    <t>Update profile information</t>
  </si>
  <si>
    <t>User is logged in and profile page is accessible</t>
  </si>
  <si>
    <t>1. Open the Profile page.
2. Update the user's name.
3. Click Save Changes.</t>
  </si>
  <si>
    <t>Name: Prem Kathayat</t>
  </si>
  <si>
    <t>Updated profile information should be saved and displayed successfully.</t>
  </si>
  <si>
    <t>Profile updated successfully.</t>
  </si>
  <si>
    <t>Profile update functionality works correctly.</t>
  </si>
  <si>
    <t>TC-015</t>
  </si>
  <si>
    <t>Upload profile picture</t>
  </si>
  <si>
    <t>1. Open the Profile page.
2. Click Upload Photo.
3. Select a valid JPG/PNG image.
4. Click Save.</t>
  </si>
  <si>
    <t>File: profile.jpg (JPG, 500 KB)</t>
  </si>
  <si>
    <t>Profile picture should upload successfully and be displayed immediately.</t>
  </si>
  <si>
    <t>Profile image uploaded and displayed successfully.</t>
  </si>
  <si>
    <t>Image upload works correctly.</t>
  </si>
  <si>
    <t>TC-016</t>
  </si>
  <si>
    <t>Upload unsupported file type</t>
  </si>
  <si>
    <t>1. Open the Profile page.
2. Select an unsupported file (e.g., PDF or EXE).
3. Click Upload.</t>
  </si>
  <si>
    <t>File: document.pdf</t>
  </si>
  <si>
    <t>System should reject the file and display an appropriate validation message.</t>
  </si>
  <si>
    <t>Error message displayed: "Only JPG, JPEG, and PNG files are allowed."</t>
  </si>
  <si>
    <t>File type validation works correctly.</t>
  </si>
  <si>
    <t>TC-017</t>
  </si>
  <si>
    <t>Search for an existing user</t>
  </si>
  <si>
    <t>User is logged in and at least one user exists in the system</t>
  </si>
  <si>
    <t>1. Log in to the application.
2. Navigate to the Search bar.
3. Enter an existing user's name or email.
4. Click Search or wait for results.</t>
  </si>
  <si>
    <t>Search Keyword: Prem</t>
  </si>
  <si>
    <t>Matching user(s) should be displayed in the search results.</t>
  </si>
  <si>
    <t>Matching user displayed successfully.</t>
  </si>
  <si>
    <t>Search functionality works correctly.</t>
  </si>
  <si>
    <t>TC-018</t>
  </si>
  <si>
    <t>Search for a non-existing user</t>
  </si>
  <si>
    <t>1. Open the search bar.
2. Enter a username that does not exist.
3. Perform the search.</t>
  </si>
  <si>
    <t>Search Keyword: UnknownUser123</t>
  </si>
  <si>
    <t>System should display "No users found" or an equivalent message.</t>
  </si>
  <si>
    <t>"No users found" message displayed correctly.</t>
  </si>
  <si>
    <t>Handles non-existing users properly.</t>
  </si>
  <si>
    <t>TC-019</t>
  </si>
  <si>
    <t>Search with an empty input</t>
  </si>
  <si>
    <t>1. Open the search bar.
2. Leave the search field empty.
3. Click Search or press Enter.</t>
  </si>
  <si>
    <t>Empty Search Field</t>
  </si>
  <si>
    <t>System should not perform the search and should either display all users (if supported) or prompt the user to enter a search term.</t>
  </si>
  <si>
    <t>Search prevented and validation handled correctly.</t>
  </si>
  <si>
    <t>Empty search input handled successfully.</t>
  </si>
  <si>
    <t>TC-020</t>
  </si>
  <si>
    <t>Open chat conversation</t>
  </si>
  <si>
    <t>User is logged in and another user exists</t>
  </si>
  <si>
    <t>1. Log in to the application.
2. Select a user from the contact list.
3. Open the chat window.</t>
  </si>
  <si>
    <t>User: John</t>
  </si>
  <si>
    <t>Chat conversation should open and previous messages should be displayed.</t>
  </si>
  <si>
    <t>Chat window opened successfully with chat history.</t>
  </si>
  <si>
    <t>Chat opens correctly.</t>
  </si>
  <si>
    <t>TC-021</t>
  </si>
  <si>
    <t>Send a text message</t>
  </si>
  <si>
    <t>Both sender and receiver are logged in</t>
  </si>
  <si>
    <t>1. Open a chat conversation.
2. Type a message.
3. Click Send.</t>
  </si>
  <si>
    <t>Message: Hello!</t>
  </si>
  <si>
    <t>Message should be sent successfully and appear in the chat window.</t>
  </si>
  <si>
    <t>Message sent and displayed successfully.</t>
  </si>
  <si>
    <t>Message sending works correctly.</t>
  </si>
  <si>
    <t>TC-022</t>
  </si>
  <si>
    <t>Receive a text message</t>
  </si>
  <si>
    <t>Sender and receiver are online</t>
  </si>
  <si>
    <t>1. Sender sends a message.
2. Receiver keeps the chat window open.</t>
  </si>
  <si>
    <t>Message: Hi there!</t>
  </si>
  <si>
    <t>Receiver should receive the message instantly without refreshing the page.</t>
  </si>
  <si>
    <t>Message received successfully in real time.</t>
  </si>
  <si>
    <t>Message receiving works correctly.</t>
  </si>
  <si>
    <t>TC-023</t>
  </si>
  <si>
    <t>Prevent sending an empty message</t>
  </si>
  <si>
    <t>1. Open a chat.
2. Leave the message input empty.
3. Click Send.</t>
  </si>
  <si>
    <t>Empty message</t>
  </si>
  <si>
    <t>System should prevent sending an empty message and display a validation message if applicable.</t>
  </si>
  <si>
    <t>Empty message was not sent.</t>
  </si>
  <si>
    <t>Empty message validation successful.</t>
  </si>
  <si>
    <t>TC-024</t>
  </si>
  <si>
    <t>Send a long message</t>
  </si>
  <si>
    <t>Medium</t>
  </si>
  <si>
    <t>1. Open a chat.
2. Enter a long text message.
3. Click Send.</t>
  </si>
  <si>
    <t>1000+ characters</t>
  </si>
  <si>
    <t>Long message should be sent and displayed correctly without truncation or UI issues.</t>
  </si>
  <si>
    <t>Long message displayed correctly.</t>
  </si>
  <si>
    <t>Long message handled successfully.</t>
  </si>
  <si>
    <t>TC-025</t>
  </si>
  <si>
    <t>Display messages in correct order</t>
  </si>
  <si>
    <t>Existing conversation contains multiple messages</t>
  </si>
  <si>
    <t>1. Open an existing conversation.
2. Review the message history.</t>
  </si>
  <si>
    <t>Previous conversation</t>
  </si>
  <si>
    <t>Messages should be displayed in chronological order (oldest to newest).</t>
  </si>
  <si>
    <t>Messages displayed in correct order.</t>
  </si>
  <si>
    <t>Message ordering works correctly.</t>
  </si>
  <si>
    <t>TC-026</t>
  </si>
  <si>
    <t>Auto-scroll to latest message</t>
  </si>
  <si>
    <t>Conversation contains many messages</t>
  </si>
  <si>
    <t>1. Open a conversation.
2. Send or receive a new message.</t>
  </si>
  <si>
    <t>New message</t>
  </si>
  <si>
    <t>Chat window should automatically scroll to the latest message.</t>
  </si>
  <si>
    <t>Auto-scroll worked successfully.</t>
  </si>
  <si>
    <t>User experience improved.</t>
  </si>
  <si>
    <t>TC-027</t>
  </si>
  <si>
    <t>Display message timestamp</t>
  </si>
  <si>
    <t>Messages exist in the conversation</t>
  </si>
  <si>
    <t>1. Open a chat conversation.
2. Observe the timestamp for each message.</t>
  </si>
  <si>
    <t>Existing messages</t>
  </si>
  <si>
    <t>Each message should display the correct date and time of sending.</t>
  </si>
  <si>
    <t>Timestamps displayed accurately.</t>
  </si>
  <si>
    <t>Timestamp functionality works correctly.</t>
  </si>
  <si>
    <t>TC-028</t>
  </si>
  <si>
    <t>Real-time message delivery</t>
  </si>
  <si>
    <t>Sender and receiver are logged in and connected to the Socket.IO server</t>
  </si>
  <si>
    <t>1. Open the application in two different browser windows.
2. Log in as two different users.
3. Send a message from User A to User B.</t>
  </si>
  <si>
    <t>Message delivered instantly.</t>
  </si>
  <si>
    <t>Real-time messaging works correctly.</t>
  </si>
  <si>
    <t>TC-029</t>
  </si>
  <si>
    <t>Socket reconnection after network interruption</t>
  </si>
  <si>
    <t>User is logged in and connected</t>
  </si>
  <si>
    <t>1. Disconnect the internet or stop the Socket.IO connection.
2. Reconnect the network.
3. Observe the connection status.</t>
  </si>
  <si>
    <t>Network disconnected and reconnected</t>
  </si>
  <si>
    <t>Client should automatically reconnect to the Socket.IO server and continue receiving messages.</t>
  </si>
  <si>
    <t>Socket reconnected successfully.</t>
  </si>
  <si>
    <t>Auto-reconnection works correctly.</t>
  </si>
  <si>
    <t>TC-030</t>
  </si>
  <si>
    <t>Display online/offline user status</t>
  </si>
  <si>
    <t>Two users are logged in</t>
  </si>
  <si>
    <t>1. Log in as User A and User B.
2. Log out User B.
3. Observe User B's status from User A's account.</t>
  </si>
  <si>
    <t>User login/logout</t>
  </si>
  <si>
    <t>User status should change between Online and Offline immediately.</t>
  </si>
  <si>
    <t>Status updated successfully.</t>
  </si>
  <si>
    <t>Presence detection works correctly.</t>
  </si>
  <si>
    <t>TC-031</t>
  </si>
  <si>
    <t>Typing indicator functionality</t>
  </si>
  <si>
    <t>Two users are connected in the same conversation</t>
  </si>
  <si>
    <t>1. User A starts typing a message.
2. Observe User B's chat screen.</t>
  </si>
  <si>
    <t>Typing message</t>
  </si>
  <si>
    <t>User B should see a "User is typing..." indicator while User A is typing.</t>
  </si>
  <si>
    <t>Typing indicator displayed correctly.</t>
  </si>
  <si>
    <t>Typing event emitted and received successfully.</t>
  </si>
  <si>
    <t>TC-032</t>
  </si>
  <si>
    <t>Multiple client synchronization</t>
  </si>
  <si>
    <t>User is logged in on multiple browser tabs or devices</t>
  </si>
  <si>
    <t>1. Log in to the same account on two browser tabs.
2. Send a message from another user.
3. Observe both tabs.</t>
  </si>
  <si>
    <t>Incoming message</t>
  </si>
  <si>
    <t>Both browser tabs should receive the new message simultaneously without requiring a page refresh.</t>
  </si>
  <si>
    <t>Messages synchronized across all connected clients.</t>
  </si>
  <si>
    <t>Multi-client synchronization verified.</t>
  </si>
  <si>
    <t>TC-033</t>
  </si>
  <si>
    <t>Logout successfully</t>
  </si>
  <si>
    <t>1. Click Logout.
2. Confirm logout if prompted.</t>
  </si>
  <si>
    <t>Valid session</t>
  </si>
  <si>
    <t>User should be logged out and redirected to the login page.</t>
  </si>
  <si>
    <t>User logged out successfully.</t>
  </si>
  <si>
    <t>Logout works correctly.</t>
  </si>
  <si>
    <t>TC-034</t>
  </si>
  <si>
    <t>Access protected page after logout</t>
  </si>
  <si>
    <t>User has logged out</t>
  </si>
  <si>
    <t>1. Logout.
2. Try to open the dashboard URL directly.</t>
  </si>
  <si>
    <t>Protected URL</t>
  </si>
  <si>
    <t>User should be redirected to the login page.</t>
  </si>
  <si>
    <t>Redirected successfully.</t>
  </si>
  <si>
    <t>Route protection verified.</t>
  </si>
  <si>
    <t>TC-035</t>
  </si>
  <si>
    <t>Access API without JWT token</t>
  </si>
  <si>
    <t>Backend is running</t>
  </si>
  <si>
    <t>Send a request to a protected API without an authorization token.</t>
  </si>
  <si>
    <t>No JWT Token</t>
  </si>
  <si>
    <t>API should return 401 Unauthorized.</t>
  </si>
  <si>
    <t>API returned 401 Unauthorized.</t>
  </si>
  <si>
    <t>JWT validation works.</t>
  </si>
  <si>
    <t>TC-036</t>
  </si>
  <si>
    <t>Access API with invalid JWT token</t>
  </si>
  <si>
    <t>Send a request with an invalid JWT token.</t>
  </si>
  <si>
    <t>Invalid JWT</t>
  </si>
  <si>
    <t>API should reject the request with 401 Unauthorized.</t>
  </si>
  <si>
    <t>Unauthorized response received.</t>
  </si>
  <si>
    <t>Invalid token rejected.</t>
  </si>
  <si>
    <t>TC-037</t>
  </si>
  <si>
    <t>Refresh page after login</t>
  </si>
  <si>
    <t>Refresh the browser page.</t>
  </si>
  <si>
    <t>User session should remain active.</t>
  </si>
  <si>
    <t>Session maintained successfully.</t>
  </si>
  <si>
    <t>Session persistence verified.</t>
  </si>
  <si>
    <t>TC-038</t>
  </si>
  <si>
    <t>Unauthorized user cannot access another user's chat</t>
  </si>
  <si>
    <t>Two different user accounts exist</t>
  </si>
  <si>
    <t>Try to access another user's conversation directly through the URL or API.</t>
  </si>
  <si>
    <t>Different User ID</t>
  </si>
  <si>
    <t>Access should be denied.</t>
  </si>
  <si>
    <t>Access denied successfully.</t>
  </si>
  <si>
    <t>Authorization works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</si>
</sst>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375623"/>
      <name val="Calibri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1"/>
      <color rgb="FF000000"/>
      <name val="Calibri"/>
    </font>
    <font>
      <b/>
      <sz val="18"/>
      <color rgb="FF1F4E78"/>
      <name val="Calibri"/>
    </font>
    <font>
      <b/>
      <sz val="18"/>
      <color rgb="FF375623"/>
      <name val="Calibri"/>
    </font>
    <font>
      <b/>
      <sz val="13"/>
      <color rgb="FF1F4E7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AEEF3"/>
        <bgColor rgb="FFEAEEF3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3" fontId="6" fillId="6" borderId="2" xfId="0" applyNumberFormat="1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Results by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Total Tests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Dashboard!$B$12:$B$19</c:f>
              <c:strCache>
                <c:ptCount val="8"/>
                <c:pt idx="0">
                  <c:v>Registration</c:v>
                </c:pt>
                <c:pt idx="1">
                  <c:v>Login</c:v>
                </c:pt>
                <c:pt idx="2">
                  <c:v>Profile</c:v>
                </c:pt>
                <c:pt idx="3">
                  <c:v>Search</c:v>
                </c:pt>
                <c:pt idx="4">
                  <c:v>Chat</c:v>
                </c:pt>
                <c:pt idx="5">
                  <c:v>Socket.IO</c:v>
                </c:pt>
                <c:pt idx="6">
                  <c:v>Authentication</c:v>
                </c:pt>
                <c:pt idx="7">
                  <c:v>Security</c:v>
                </c:pt>
              </c:strCache>
            </c:strRef>
          </c:cat>
          <c:val>
            <c:numRef>
              <c:f>Dashboard!$C$12:$C$19</c:f>
              <c:numCache>
                <c:formatCode>#,##0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3-47FA-8B86-733027350CE5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Passed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Dashboard!$B$12:$B$19</c:f>
              <c:strCache>
                <c:ptCount val="8"/>
                <c:pt idx="0">
                  <c:v>Registration</c:v>
                </c:pt>
                <c:pt idx="1">
                  <c:v>Login</c:v>
                </c:pt>
                <c:pt idx="2">
                  <c:v>Profile</c:v>
                </c:pt>
                <c:pt idx="3">
                  <c:v>Search</c:v>
                </c:pt>
                <c:pt idx="4">
                  <c:v>Chat</c:v>
                </c:pt>
                <c:pt idx="5">
                  <c:v>Socket.IO</c:v>
                </c:pt>
                <c:pt idx="6">
                  <c:v>Authentication</c:v>
                </c:pt>
                <c:pt idx="7">
                  <c:v>Security</c:v>
                </c:pt>
              </c:strCache>
            </c:strRef>
          </c:cat>
          <c:val>
            <c:numRef>
              <c:f>Dashboard!$D$12:$D$19</c:f>
              <c:numCache>
                <c:formatCode>#,##0</c:formatCode>
                <c:ptCount val="8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5</c:v>
                </c:pt>
                <c:pt idx="6">
                  <c:v>2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A3-47FA-8B86-733027350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Module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Test Cases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0" customWidth="1"/>
    <col min="3" max="3" width="20" customWidth="1"/>
    <col min="4" max="4" width="12" customWidth="1"/>
    <col min="5" max="5" width="22" customWidth="1"/>
    <col min="6" max="6" width="35" customWidth="1"/>
    <col min="7" max="7" width="25" customWidth="1"/>
    <col min="8" max="8" width="35" customWidth="1"/>
    <col min="9" max="9" width="30" customWidth="1"/>
    <col min="10" max="10" width="12" customWidth="1"/>
    <col min="11" max="11" width="30" customWidth="1"/>
  </cols>
  <sheetData>
    <row r="1" spans="1:11" ht="28.05" customHeight="1" x14ac:dyDescent="0.3">
      <c r="A1" s="17" t="s">
        <v>20</v>
      </c>
      <c r="B1" s="17" t="s">
        <v>21</v>
      </c>
      <c r="C1" s="17" t="s">
        <v>6</v>
      </c>
      <c r="D1" s="17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7" t="s">
        <v>29</v>
      </c>
    </row>
    <row r="2" spans="1:11" ht="45" customHeight="1" x14ac:dyDescent="0.3">
      <c r="A2" s="18" t="s">
        <v>30</v>
      </c>
      <c r="B2" s="19" t="s">
        <v>31</v>
      </c>
      <c r="C2" s="19" t="s">
        <v>11</v>
      </c>
      <c r="D2" s="18" t="s">
        <v>32</v>
      </c>
      <c r="E2" s="19" t="s">
        <v>33</v>
      </c>
      <c r="F2" s="19" t="s">
        <v>34</v>
      </c>
      <c r="G2" s="19" t="s">
        <v>35</v>
      </c>
      <c r="H2" s="19" t="s">
        <v>36</v>
      </c>
      <c r="I2" s="19" t="s">
        <v>37</v>
      </c>
      <c r="J2" s="20" t="s">
        <v>38</v>
      </c>
      <c r="K2" s="19" t="s">
        <v>39</v>
      </c>
    </row>
    <row r="3" spans="1:11" ht="45" customHeight="1" x14ac:dyDescent="0.3">
      <c r="A3" s="21" t="s">
        <v>40</v>
      </c>
      <c r="B3" s="22" t="s">
        <v>41</v>
      </c>
      <c r="C3" s="22" t="s">
        <v>11</v>
      </c>
      <c r="D3" s="21" t="s">
        <v>32</v>
      </c>
      <c r="E3" s="22" t="s">
        <v>42</v>
      </c>
      <c r="F3" s="22" t="s">
        <v>43</v>
      </c>
      <c r="G3" s="22" t="s">
        <v>44</v>
      </c>
      <c r="H3" s="22" t="s">
        <v>45</v>
      </c>
      <c r="I3" s="22" t="s">
        <v>46</v>
      </c>
      <c r="J3" s="20" t="s">
        <v>38</v>
      </c>
      <c r="K3" s="22" t="s">
        <v>47</v>
      </c>
    </row>
    <row r="4" spans="1:11" ht="45" customHeight="1" x14ac:dyDescent="0.3">
      <c r="A4" s="18" t="s">
        <v>48</v>
      </c>
      <c r="B4" s="19" t="s">
        <v>49</v>
      </c>
      <c r="C4" s="19" t="s">
        <v>11</v>
      </c>
      <c r="D4" s="18" t="s">
        <v>32</v>
      </c>
      <c r="E4" s="19" t="s">
        <v>33</v>
      </c>
      <c r="F4" s="19" t="s">
        <v>50</v>
      </c>
      <c r="G4" s="19" t="s">
        <v>51</v>
      </c>
      <c r="H4" s="19" t="s">
        <v>52</v>
      </c>
      <c r="I4" s="19" t="s">
        <v>53</v>
      </c>
      <c r="J4" s="20" t="s">
        <v>38</v>
      </c>
      <c r="K4" s="19" t="s">
        <v>54</v>
      </c>
    </row>
    <row r="5" spans="1:11" ht="45" customHeight="1" x14ac:dyDescent="0.3">
      <c r="A5" s="21" t="s">
        <v>55</v>
      </c>
      <c r="B5" s="22" t="s">
        <v>56</v>
      </c>
      <c r="C5" s="22" t="s">
        <v>11</v>
      </c>
      <c r="D5" s="21" t="s">
        <v>32</v>
      </c>
      <c r="E5" s="22" t="s">
        <v>33</v>
      </c>
      <c r="F5" s="22" t="s">
        <v>57</v>
      </c>
      <c r="G5" s="22" t="s">
        <v>58</v>
      </c>
      <c r="H5" s="22" t="s">
        <v>59</v>
      </c>
      <c r="I5" s="22" t="s">
        <v>60</v>
      </c>
      <c r="J5" s="20" t="s">
        <v>38</v>
      </c>
      <c r="K5" s="22" t="s">
        <v>61</v>
      </c>
    </row>
    <row r="6" spans="1:11" ht="45" customHeight="1" x14ac:dyDescent="0.3">
      <c r="A6" s="18" t="s">
        <v>62</v>
      </c>
      <c r="B6" s="19" t="s">
        <v>63</v>
      </c>
      <c r="C6" s="19" t="s">
        <v>11</v>
      </c>
      <c r="D6" s="18" t="s">
        <v>32</v>
      </c>
      <c r="E6" s="19" t="s">
        <v>33</v>
      </c>
      <c r="F6" s="19" t="s">
        <v>64</v>
      </c>
      <c r="G6" s="19" t="s">
        <v>65</v>
      </c>
      <c r="H6" s="19" t="s">
        <v>66</v>
      </c>
      <c r="I6" s="19" t="s">
        <v>67</v>
      </c>
      <c r="J6" s="20" t="s">
        <v>38</v>
      </c>
      <c r="K6" s="19" t="s">
        <v>68</v>
      </c>
    </row>
    <row r="7" spans="1:11" ht="45" customHeight="1" x14ac:dyDescent="0.3">
      <c r="A7" s="21" t="s">
        <v>69</v>
      </c>
      <c r="B7" s="22" t="s">
        <v>70</v>
      </c>
      <c r="C7" s="22" t="s">
        <v>11</v>
      </c>
      <c r="D7" s="21" t="s">
        <v>32</v>
      </c>
      <c r="E7" s="22" t="s">
        <v>33</v>
      </c>
      <c r="F7" s="22" t="s">
        <v>71</v>
      </c>
      <c r="G7" s="22" t="s">
        <v>72</v>
      </c>
      <c r="H7" s="22" t="s">
        <v>73</v>
      </c>
      <c r="I7" s="22" t="s">
        <v>74</v>
      </c>
      <c r="J7" s="20" t="s">
        <v>38</v>
      </c>
      <c r="K7" s="22" t="s">
        <v>75</v>
      </c>
    </row>
    <row r="8" spans="1:11" ht="45" customHeight="1" x14ac:dyDescent="0.3">
      <c r="A8" s="18" t="s">
        <v>76</v>
      </c>
      <c r="B8" s="19" t="s">
        <v>77</v>
      </c>
      <c r="C8" s="19" t="s">
        <v>12</v>
      </c>
      <c r="D8" s="18" t="s">
        <v>32</v>
      </c>
      <c r="E8" s="19" t="s">
        <v>78</v>
      </c>
      <c r="F8" s="19" t="s">
        <v>79</v>
      </c>
      <c r="G8" s="19" t="s">
        <v>80</v>
      </c>
      <c r="H8" s="19" t="s">
        <v>81</v>
      </c>
      <c r="I8" s="19" t="s">
        <v>82</v>
      </c>
      <c r="J8" s="20" t="s">
        <v>38</v>
      </c>
      <c r="K8" s="19" t="s">
        <v>83</v>
      </c>
    </row>
    <row r="9" spans="1:11" ht="45" customHeight="1" x14ac:dyDescent="0.3">
      <c r="A9" s="21" t="s">
        <v>84</v>
      </c>
      <c r="B9" s="22" t="s">
        <v>85</v>
      </c>
      <c r="C9" s="22" t="s">
        <v>12</v>
      </c>
      <c r="D9" s="21" t="s">
        <v>32</v>
      </c>
      <c r="E9" s="22" t="s">
        <v>86</v>
      </c>
      <c r="F9" s="22" t="s">
        <v>87</v>
      </c>
      <c r="G9" s="22" t="s">
        <v>88</v>
      </c>
      <c r="H9" s="22" t="s">
        <v>89</v>
      </c>
      <c r="I9" s="22" t="s">
        <v>90</v>
      </c>
      <c r="J9" s="20" t="s">
        <v>38</v>
      </c>
      <c r="K9" s="22" t="s">
        <v>91</v>
      </c>
    </row>
    <row r="10" spans="1:11" ht="45" customHeight="1" x14ac:dyDescent="0.3">
      <c r="A10" s="18" t="s">
        <v>92</v>
      </c>
      <c r="B10" s="19" t="s">
        <v>93</v>
      </c>
      <c r="C10" s="19" t="s">
        <v>12</v>
      </c>
      <c r="D10" s="18" t="s">
        <v>32</v>
      </c>
      <c r="E10" s="19" t="s">
        <v>33</v>
      </c>
      <c r="F10" s="19" t="s">
        <v>94</v>
      </c>
      <c r="G10" s="19" t="s">
        <v>95</v>
      </c>
      <c r="H10" s="19" t="s">
        <v>96</v>
      </c>
      <c r="I10" s="19" t="s">
        <v>97</v>
      </c>
      <c r="J10" s="20" t="s">
        <v>38</v>
      </c>
      <c r="K10" s="19" t="s">
        <v>98</v>
      </c>
    </row>
    <row r="11" spans="1:11" ht="45" customHeight="1" x14ac:dyDescent="0.3">
      <c r="A11" s="21" t="s">
        <v>99</v>
      </c>
      <c r="B11" s="22" t="s">
        <v>100</v>
      </c>
      <c r="C11" s="22" t="s">
        <v>12</v>
      </c>
      <c r="D11" s="21" t="s">
        <v>32</v>
      </c>
      <c r="E11" s="22" t="s">
        <v>33</v>
      </c>
      <c r="F11" s="22" t="s">
        <v>101</v>
      </c>
      <c r="G11" s="22" t="s">
        <v>102</v>
      </c>
      <c r="H11" s="22" t="s">
        <v>103</v>
      </c>
      <c r="I11" s="22" t="s">
        <v>104</v>
      </c>
      <c r="J11" s="20" t="s">
        <v>38</v>
      </c>
      <c r="K11" s="22" t="s">
        <v>105</v>
      </c>
    </row>
    <row r="12" spans="1:11" ht="45" customHeight="1" x14ac:dyDescent="0.3">
      <c r="A12" s="18" t="s">
        <v>106</v>
      </c>
      <c r="B12" s="19" t="s">
        <v>107</v>
      </c>
      <c r="C12" s="19" t="s">
        <v>12</v>
      </c>
      <c r="D12" s="18" t="s">
        <v>32</v>
      </c>
      <c r="E12" s="19" t="s">
        <v>33</v>
      </c>
      <c r="F12" s="19" t="s">
        <v>108</v>
      </c>
      <c r="G12" s="19" t="s">
        <v>109</v>
      </c>
      <c r="H12" s="19" t="s">
        <v>110</v>
      </c>
      <c r="I12" s="19" t="s">
        <v>111</v>
      </c>
      <c r="J12" s="20" t="s">
        <v>38</v>
      </c>
      <c r="K12" s="19" t="s">
        <v>112</v>
      </c>
    </row>
    <row r="13" spans="1:11" ht="45" customHeight="1" x14ac:dyDescent="0.3">
      <c r="A13" s="21" t="s">
        <v>113</v>
      </c>
      <c r="B13" s="22" t="s">
        <v>114</v>
      </c>
      <c r="C13" s="22" t="s">
        <v>12</v>
      </c>
      <c r="D13" s="21" t="s">
        <v>32</v>
      </c>
      <c r="E13" s="22" t="s">
        <v>115</v>
      </c>
      <c r="F13" s="22" t="s">
        <v>116</v>
      </c>
      <c r="G13" s="22" t="s">
        <v>117</v>
      </c>
      <c r="H13" s="22" t="s">
        <v>118</v>
      </c>
      <c r="I13" s="22" t="s">
        <v>119</v>
      </c>
      <c r="J13" s="20" t="s">
        <v>38</v>
      </c>
      <c r="K13" s="22" t="s">
        <v>120</v>
      </c>
    </row>
    <row r="14" spans="1:11" ht="45" customHeight="1" x14ac:dyDescent="0.3">
      <c r="A14" s="18" t="s">
        <v>121</v>
      </c>
      <c r="B14" s="19" t="s">
        <v>122</v>
      </c>
      <c r="C14" s="19" t="s">
        <v>13</v>
      </c>
      <c r="D14" s="18" t="s">
        <v>32</v>
      </c>
      <c r="E14" s="19" t="s">
        <v>123</v>
      </c>
      <c r="F14" s="19" t="s">
        <v>124</v>
      </c>
      <c r="G14" s="19" t="s">
        <v>125</v>
      </c>
      <c r="H14" s="19" t="s">
        <v>126</v>
      </c>
      <c r="I14" s="19" t="s">
        <v>127</v>
      </c>
      <c r="J14" s="20" t="s">
        <v>38</v>
      </c>
      <c r="K14" s="19" t="s">
        <v>128</v>
      </c>
    </row>
    <row r="15" spans="1:11" ht="45" customHeight="1" x14ac:dyDescent="0.3">
      <c r="A15" s="21" t="s">
        <v>129</v>
      </c>
      <c r="B15" s="22" t="s">
        <v>130</v>
      </c>
      <c r="C15" s="22" t="s">
        <v>13</v>
      </c>
      <c r="D15" s="21" t="s">
        <v>32</v>
      </c>
      <c r="E15" s="22" t="s">
        <v>131</v>
      </c>
      <c r="F15" s="22" t="s">
        <v>132</v>
      </c>
      <c r="G15" s="22" t="s">
        <v>133</v>
      </c>
      <c r="H15" s="22" t="s">
        <v>134</v>
      </c>
      <c r="I15" s="22" t="s">
        <v>135</v>
      </c>
      <c r="J15" s="20" t="s">
        <v>38</v>
      </c>
      <c r="K15" s="22" t="s">
        <v>136</v>
      </c>
    </row>
    <row r="16" spans="1:11" ht="45" customHeight="1" x14ac:dyDescent="0.3">
      <c r="A16" s="18" t="s">
        <v>137</v>
      </c>
      <c r="B16" s="19" t="s">
        <v>138</v>
      </c>
      <c r="C16" s="19" t="s">
        <v>13</v>
      </c>
      <c r="D16" s="18" t="s">
        <v>32</v>
      </c>
      <c r="E16" s="19" t="s">
        <v>123</v>
      </c>
      <c r="F16" s="19" t="s">
        <v>139</v>
      </c>
      <c r="G16" s="19" t="s">
        <v>140</v>
      </c>
      <c r="H16" s="19" t="s">
        <v>141</v>
      </c>
      <c r="I16" s="19" t="s">
        <v>142</v>
      </c>
      <c r="J16" s="20" t="s">
        <v>38</v>
      </c>
      <c r="K16" s="19" t="s">
        <v>143</v>
      </c>
    </row>
    <row r="17" spans="1:11" ht="45" customHeight="1" x14ac:dyDescent="0.3">
      <c r="A17" s="21" t="s">
        <v>144</v>
      </c>
      <c r="B17" s="22" t="s">
        <v>145</v>
      </c>
      <c r="C17" s="22" t="s">
        <v>13</v>
      </c>
      <c r="D17" s="21" t="s">
        <v>32</v>
      </c>
      <c r="E17" s="22" t="s">
        <v>123</v>
      </c>
      <c r="F17" s="22" t="s">
        <v>146</v>
      </c>
      <c r="G17" s="22" t="s">
        <v>147</v>
      </c>
      <c r="H17" s="22" t="s">
        <v>148</v>
      </c>
      <c r="I17" s="22" t="s">
        <v>149</v>
      </c>
      <c r="J17" s="20" t="s">
        <v>38</v>
      </c>
      <c r="K17" s="22" t="s">
        <v>150</v>
      </c>
    </row>
    <row r="18" spans="1:11" ht="45" customHeight="1" x14ac:dyDescent="0.3">
      <c r="A18" s="18" t="s">
        <v>151</v>
      </c>
      <c r="B18" s="19" t="s">
        <v>152</v>
      </c>
      <c r="C18" s="19" t="s">
        <v>14</v>
      </c>
      <c r="D18" s="18" t="s">
        <v>32</v>
      </c>
      <c r="E18" s="19" t="s">
        <v>153</v>
      </c>
      <c r="F18" s="19" t="s">
        <v>154</v>
      </c>
      <c r="G18" s="19" t="s">
        <v>155</v>
      </c>
      <c r="H18" s="19" t="s">
        <v>156</v>
      </c>
      <c r="I18" s="19" t="s">
        <v>157</v>
      </c>
      <c r="J18" s="20" t="s">
        <v>38</v>
      </c>
      <c r="K18" s="19" t="s">
        <v>158</v>
      </c>
    </row>
    <row r="19" spans="1:11" ht="45" customHeight="1" x14ac:dyDescent="0.3">
      <c r="A19" s="21" t="s">
        <v>159</v>
      </c>
      <c r="B19" s="22" t="s">
        <v>160</v>
      </c>
      <c r="C19" s="22" t="s">
        <v>14</v>
      </c>
      <c r="D19" s="21" t="s">
        <v>32</v>
      </c>
      <c r="E19" s="22" t="s">
        <v>123</v>
      </c>
      <c r="F19" s="22" t="s">
        <v>161</v>
      </c>
      <c r="G19" s="22" t="s">
        <v>162</v>
      </c>
      <c r="H19" s="22" t="s">
        <v>163</v>
      </c>
      <c r="I19" s="22" t="s">
        <v>164</v>
      </c>
      <c r="J19" s="20" t="s">
        <v>38</v>
      </c>
      <c r="K19" s="22" t="s">
        <v>165</v>
      </c>
    </row>
    <row r="20" spans="1:11" ht="45" customHeight="1" x14ac:dyDescent="0.3">
      <c r="A20" s="18" t="s">
        <v>166</v>
      </c>
      <c r="B20" s="19" t="s">
        <v>167</v>
      </c>
      <c r="C20" s="19" t="s">
        <v>14</v>
      </c>
      <c r="D20" s="18" t="s">
        <v>32</v>
      </c>
      <c r="E20" s="19" t="s">
        <v>123</v>
      </c>
      <c r="F20" s="19" t="s">
        <v>168</v>
      </c>
      <c r="G20" s="19" t="s">
        <v>169</v>
      </c>
      <c r="H20" s="19" t="s">
        <v>170</v>
      </c>
      <c r="I20" s="19" t="s">
        <v>171</v>
      </c>
      <c r="J20" s="20" t="s">
        <v>38</v>
      </c>
      <c r="K20" s="19" t="s">
        <v>172</v>
      </c>
    </row>
    <row r="21" spans="1:11" ht="45" customHeight="1" x14ac:dyDescent="0.3">
      <c r="A21" s="21" t="s">
        <v>173</v>
      </c>
      <c r="B21" s="22" t="s">
        <v>174</v>
      </c>
      <c r="C21" s="22" t="s">
        <v>15</v>
      </c>
      <c r="D21" s="21" t="s">
        <v>32</v>
      </c>
      <c r="E21" s="22" t="s">
        <v>175</v>
      </c>
      <c r="F21" s="22" t="s">
        <v>176</v>
      </c>
      <c r="G21" s="22" t="s">
        <v>177</v>
      </c>
      <c r="H21" s="22" t="s">
        <v>178</v>
      </c>
      <c r="I21" s="22" t="s">
        <v>179</v>
      </c>
      <c r="J21" s="20" t="s">
        <v>38</v>
      </c>
      <c r="K21" s="22" t="s">
        <v>180</v>
      </c>
    </row>
    <row r="22" spans="1:11" ht="45" customHeight="1" x14ac:dyDescent="0.3">
      <c r="A22" s="18" t="s">
        <v>181</v>
      </c>
      <c r="B22" s="19" t="s">
        <v>182</v>
      </c>
      <c r="C22" s="19" t="s">
        <v>15</v>
      </c>
      <c r="D22" s="18" t="s">
        <v>32</v>
      </c>
      <c r="E22" s="19" t="s">
        <v>183</v>
      </c>
      <c r="F22" s="19" t="s">
        <v>184</v>
      </c>
      <c r="G22" s="19" t="s">
        <v>185</v>
      </c>
      <c r="H22" s="19" t="s">
        <v>186</v>
      </c>
      <c r="I22" s="19" t="s">
        <v>187</v>
      </c>
      <c r="J22" s="20" t="s">
        <v>38</v>
      </c>
      <c r="K22" s="19" t="s">
        <v>188</v>
      </c>
    </row>
    <row r="23" spans="1:11" ht="45" customHeight="1" x14ac:dyDescent="0.3">
      <c r="A23" s="21" t="s">
        <v>189</v>
      </c>
      <c r="B23" s="22" t="s">
        <v>190</v>
      </c>
      <c r="C23" s="22" t="s">
        <v>15</v>
      </c>
      <c r="D23" s="21" t="s">
        <v>32</v>
      </c>
      <c r="E23" s="22" t="s">
        <v>191</v>
      </c>
      <c r="F23" s="22" t="s">
        <v>192</v>
      </c>
      <c r="G23" s="22" t="s">
        <v>193</v>
      </c>
      <c r="H23" s="22" t="s">
        <v>194</v>
      </c>
      <c r="I23" s="22" t="s">
        <v>195</v>
      </c>
      <c r="J23" s="20" t="s">
        <v>38</v>
      </c>
      <c r="K23" s="22" t="s">
        <v>196</v>
      </c>
    </row>
    <row r="24" spans="1:11" ht="45" customHeight="1" x14ac:dyDescent="0.3">
      <c r="A24" s="18" t="s">
        <v>197</v>
      </c>
      <c r="B24" s="19" t="s">
        <v>198</v>
      </c>
      <c r="C24" s="19" t="s">
        <v>15</v>
      </c>
      <c r="D24" s="18" t="s">
        <v>32</v>
      </c>
      <c r="E24" s="19" t="s">
        <v>123</v>
      </c>
      <c r="F24" s="19" t="s">
        <v>199</v>
      </c>
      <c r="G24" s="19" t="s">
        <v>200</v>
      </c>
      <c r="H24" s="19" t="s">
        <v>201</v>
      </c>
      <c r="I24" s="19" t="s">
        <v>202</v>
      </c>
      <c r="J24" s="20" t="s">
        <v>38</v>
      </c>
      <c r="K24" s="19" t="s">
        <v>203</v>
      </c>
    </row>
    <row r="25" spans="1:11" ht="45" customHeight="1" x14ac:dyDescent="0.3">
      <c r="A25" s="21" t="s">
        <v>204</v>
      </c>
      <c r="B25" s="22" t="s">
        <v>205</v>
      </c>
      <c r="C25" s="22" t="s">
        <v>15</v>
      </c>
      <c r="D25" s="21" t="s">
        <v>206</v>
      </c>
      <c r="E25" s="22" t="s">
        <v>123</v>
      </c>
      <c r="F25" s="22" t="s">
        <v>207</v>
      </c>
      <c r="G25" s="22" t="s">
        <v>208</v>
      </c>
      <c r="H25" s="22" t="s">
        <v>209</v>
      </c>
      <c r="I25" s="22" t="s">
        <v>210</v>
      </c>
      <c r="J25" s="20" t="s">
        <v>38</v>
      </c>
      <c r="K25" s="22" t="s">
        <v>211</v>
      </c>
    </row>
    <row r="26" spans="1:11" ht="45" customHeight="1" x14ac:dyDescent="0.3">
      <c r="A26" s="18" t="s">
        <v>212</v>
      </c>
      <c r="B26" s="19" t="s">
        <v>213</v>
      </c>
      <c r="C26" s="19" t="s">
        <v>15</v>
      </c>
      <c r="D26" s="18" t="s">
        <v>206</v>
      </c>
      <c r="E26" s="19" t="s">
        <v>214</v>
      </c>
      <c r="F26" s="19" t="s">
        <v>215</v>
      </c>
      <c r="G26" s="19" t="s">
        <v>216</v>
      </c>
      <c r="H26" s="19" t="s">
        <v>217</v>
      </c>
      <c r="I26" s="19" t="s">
        <v>218</v>
      </c>
      <c r="J26" s="20" t="s">
        <v>38</v>
      </c>
      <c r="K26" s="19" t="s">
        <v>219</v>
      </c>
    </row>
    <row r="27" spans="1:11" ht="45" customHeight="1" x14ac:dyDescent="0.3">
      <c r="A27" s="21" t="s">
        <v>220</v>
      </c>
      <c r="B27" s="22" t="s">
        <v>221</v>
      </c>
      <c r="C27" s="22" t="s">
        <v>15</v>
      </c>
      <c r="D27" s="21" t="s">
        <v>206</v>
      </c>
      <c r="E27" s="22" t="s">
        <v>222</v>
      </c>
      <c r="F27" s="22" t="s">
        <v>223</v>
      </c>
      <c r="G27" s="22" t="s">
        <v>224</v>
      </c>
      <c r="H27" s="22" t="s">
        <v>225</v>
      </c>
      <c r="I27" s="22" t="s">
        <v>226</v>
      </c>
      <c r="J27" s="20" t="s">
        <v>38</v>
      </c>
      <c r="K27" s="22" t="s">
        <v>227</v>
      </c>
    </row>
    <row r="28" spans="1:11" ht="45" customHeight="1" x14ac:dyDescent="0.3">
      <c r="A28" s="18" t="s">
        <v>228</v>
      </c>
      <c r="B28" s="19" t="s">
        <v>229</v>
      </c>
      <c r="C28" s="19" t="s">
        <v>15</v>
      </c>
      <c r="D28" s="18" t="s">
        <v>206</v>
      </c>
      <c r="E28" s="19" t="s">
        <v>230</v>
      </c>
      <c r="F28" s="19" t="s">
        <v>231</v>
      </c>
      <c r="G28" s="19" t="s">
        <v>232</v>
      </c>
      <c r="H28" s="19" t="s">
        <v>233</v>
      </c>
      <c r="I28" s="19" t="s">
        <v>234</v>
      </c>
      <c r="J28" s="20" t="s">
        <v>38</v>
      </c>
      <c r="K28" s="19" t="s">
        <v>235</v>
      </c>
    </row>
    <row r="29" spans="1:11" ht="45" customHeight="1" x14ac:dyDescent="0.3">
      <c r="A29" s="21" t="s">
        <v>236</v>
      </c>
      <c r="B29" s="22" t="s">
        <v>237</v>
      </c>
      <c r="C29" s="22" t="s">
        <v>16</v>
      </c>
      <c r="D29" s="21" t="s">
        <v>32</v>
      </c>
      <c r="E29" s="22" t="s">
        <v>238</v>
      </c>
      <c r="F29" s="22" t="s">
        <v>239</v>
      </c>
      <c r="G29" s="22" t="s">
        <v>185</v>
      </c>
      <c r="H29" s="22" t="s">
        <v>194</v>
      </c>
      <c r="I29" s="22" t="s">
        <v>240</v>
      </c>
      <c r="J29" s="20" t="s">
        <v>38</v>
      </c>
      <c r="K29" s="22" t="s">
        <v>241</v>
      </c>
    </row>
    <row r="30" spans="1:11" ht="45" customHeight="1" x14ac:dyDescent="0.3">
      <c r="A30" s="18" t="s">
        <v>242</v>
      </c>
      <c r="B30" s="19" t="s">
        <v>243</v>
      </c>
      <c r="C30" s="19" t="s">
        <v>16</v>
      </c>
      <c r="D30" s="18" t="s">
        <v>32</v>
      </c>
      <c r="E30" s="19" t="s">
        <v>244</v>
      </c>
      <c r="F30" s="19" t="s">
        <v>245</v>
      </c>
      <c r="G30" s="19" t="s">
        <v>246</v>
      </c>
      <c r="H30" s="19" t="s">
        <v>247</v>
      </c>
      <c r="I30" s="19" t="s">
        <v>248</v>
      </c>
      <c r="J30" s="20" t="s">
        <v>38</v>
      </c>
      <c r="K30" s="19" t="s">
        <v>249</v>
      </c>
    </row>
    <row r="31" spans="1:11" ht="45" customHeight="1" x14ac:dyDescent="0.3">
      <c r="A31" s="21" t="s">
        <v>250</v>
      </c>
      <c r="B31" s="22" t="s">
        <v>251</v>
      </c>
      <c r="C31" s="22" t="s">
        <v>16</v>
      </c>
      <c r="D31" s="21" t="s">
        <v>32</v>
      </c>
      <c r="E31" s="22" t="s">
        <v>252</v>
      </c>
      <c r="F31" s="22" t="s">
        <v>253</v>
      </c>
      <c r="G31" s="22" t="s">
        <v>254</v>
      </c>
      <c r="H31" s="22" t="s">
        <v>255</v>
      </c>
      <c r="I31" s="22" t="s">
        <v>256</v>
      </c>
      <c r="J31" s="20" t="s">
        <v>38</v>
      </c>
      <c r="K31" s="22" t="s">
        <v>257</v>
      </c>
    </row>
    <row r="32" spans="1:11" ht="45" customHeight="1" x14ac:dyDescent="0.3">
      <c r="A32" s="18" t="s">
        <v>258</v>
      </c>
      <c r="B32" s="19" t="s">
        <v>259</v>
      </c>
      <c r="C32" s="19" t="s">
        <v>16</v>
      </c>
      <c r="D32" s="18" t="s">
        <v>206</v>
      </c>
      <c r="E32" s="19" t="s">
        <v>260</v>
      </c>
      <c r="F32" s="19" t="s">
        <v>261</v>
      </c>
      <c r="G32" s="19" t="s">
        <v>262</v>
      </c>
      <c r="H32" s="19" t="s">
        <v>263</v>
      </c>
      <c r="I32" s="19" t="s">
        <v>264</v>
      </c>
      <c r="J32" s="20" t="s">
        <v>38</v>
      </c>
      <c r="K32" s="19" t="s">
        <v>265</v>
      </c>
    </row>
    <row r="33" spans="1:11" ht="45" customHeight="1" x14ac:dyDescent="0.3">
      <c r="A33" s="21" t="s">
        <v>266</v>
      </c>
      <c r="B33" s="22" t="s">
        <v>267</v>
      </c>
      <c r="C33" s="22" t="s">
        <v>16</v>
      </c>
      <c r="D33" s="21" t="s">
        <v>32</v>
      </c>
      <c r="E33" s="22" t="s">
        <v>268</v>
      </c>
      <c r="F33" s="22" t="s">
        <v>269</v>
      </c>
      <c r="G33" s="22" t="s">
        <v>270</v>
      </c>
      <c r="H33" s="22" t="s">
        <v>271</v>
      </c>
      <c r="I33" s="22" t="s">
        <v>272</v>
      </c>
      <c r="J33" s="20" t="s">
        <v>38</v>
      </c>
      <c r="K33" s="22" t="s">
        <v>273</v>
      </c>
    </row>
    <row r="34" spans="1:11" ht="45" customHeight="1" x14ac:dyDescent="0.3">
      <c r="A34" s="18" t="s">
        <v>274</v>
      </c>
      <c r="B34" s="19" t="s">
        <v>275</v>
      </c>
      <c r="C34" s="19" t="s">
        <v>17</v>
      </c>
      <c r="D34" s="18" t="s">
        <v>206</v>
      </c>
      <c r="E34" s="19" t="s">
        <v>123</v>
      </c>
      <c r="F34" s="19" t="s">
        <v>276</v>
      </c>
      <c r="G34" s="19" t="s">
        <v>277</v>
      </c>
      <c r="H34" s="19" t="s">
        <v>278</v>
      </c>
      <c r="I34" s="19" t="s">
        <v>279</v>
      </c>
      <c r="J34" s="20" t="s">
        <v>38</v>
      </c>
      <c r="K34" s="19" t="s">
        <v>280</v>
      </c>
    </row>
    <row r="35" spans="1:11" ht="45" customHeight="1" x14ac:dyDescent="0.3">
      <c r="A35" s="21" t="s">
        <v>281</v>
      </c>
      <c r="B35" s="22" t="s">
        <v>282</v>
      </c>
      <c r="C35" s="22" t="s">
        <v>18</v>
      </c>
      <c r="D35" s="21" t="s">
        <v>32</v>
      </c>
      <c r="E35" s="22" t="s">
        <v>283</v>
      </c>
      <c r="F35" s="22" t="s">
        <v>284</v>
      </c>
      <c r="G35" s="22" t="s">
        <v>285</v>
      </c>
      <c r="H35" s="22" t="s">
        <v>286</v>
      </c>
      <c r="I35" s="22" t="s">
        <v>287</v>
      </c>
      <c r="J35" s="20" t="s">
        <v>38</v>
      </c>
      <c r="K35" s="22" t="s">
        <v>288</v>
      </c>
    </row>
    <row r="36" spans="1:11" ht="45" customHeight="1" x14ac:dyDescent="0.3">
      <c r="A36" s="18" t="s">
        <v>289</v>
      </c>
      <c r="B36" s="19" t="s">
        <v>290</v>
      </c>
      <c r="C36" s="19" t="s">
        <v>18</v>
      </c>
      <c r="D36" s="18" t="s">
        <v>32</v>
      </c>
      <c r="E36" s="19" t="s">
        <v>291</v>
      </c>
      <c r="F36" s="19" t="s">
        <v>292</v>
      </c>
      <c r="G36" s="19" t="s">
        <v>293</v>
      </c>
      <c r="H36" s="19" t="s">
        <v>294</v>
      </c>
      <c r="I36" s="19" t="s">
        <v>295</v>
      </c>
      <c r="J36" s="20" t="s">
        <v>38</v>
      </c>
      <c r="K36" s="19" t="s">
        <v>296</v>
      </c>
    </row>
    <row r="37" spans="1:11" ht="45" customHeight="1" x14ac:dyDescent="0.3">
      <c r="A37" s="21" t="s">
        <v>297</v>
      </c>
      <c r="B37" s="22" t="s">
        <v>298</v>
      </c>
      <c r="C37" s="22" t="s">
        <v>18</v>
      </c>
      <c r="D37" s="21" t="s">
        <v>32</v>
      </c>
      <c r="E37" s="22" t="s">
        <v>291</v>
      </c>
      <c r="F37" s="22" t="s">
        <v>299</v>
      </c>
      <c r="G37" s="22" t="s">
        <v>300</v>
      </c>
      <c r="H37" s="22" t="s">
        <v>301</v>
      </c>
      <c r="I37" s="22" t="s">
        <v>302</v>
      </c>
      <c r="J37" s="20" t="s">
        <v>38</v>
      </c>
      <c r="K37" s="22" t="s">
        <v>303</v>
      </c>
    </row>
    <row r="38" spans="1:11" ht="45" customHeight="1" x14ac:dyDescent="0.3">
      <c r="A38" s="18" t="s">
        <v>304</v>
      </c>
      <c r="B38" s="19" t="s">
        <v>305</v>
      </c>
      <c r="C38" s="19" t="s">
        <v>17</v>
      </c>
      <c r="D38" s="18" t="s">
        <v>206</v>
      </c>
      <c r="E38" s="19" t="s">
        <v>123</v>
      </c>
      <c r="F38" s="19" t="s">
        <v>306</v>
      </c>
      <c r="G38" s="19" t="s">
        <v>277</v>
      </c>
      <c r="H38" s="19" t="s">
        <v>307</v>
      </c>
      <c r="I38" s="19" t="s">
        <v>308</v>
      </c>
      <c r="J38" s="20" t="s">
        <v>38</v>
      </c>
      <c r="K38" s="19" t="s">
        <v>309</v>
      </c>
    </row>
    <row r="39" spans="1:11" ht="45" customHeight="1" x14ac:dyDescent="0.3">
      <c r="A39" s="21" t="s">
        <v>310</v>
      </c>
      <c r="B39" s="22" t="s">
        <v>311</v>
      </c>
      <c r="C39" s="22" t="s">
        <v>18</v>
      </c>
      <c r="D39" s="21" t="s">
        <v>32</v>
      </c>
      <c r="E39" s="22" t="s">
        <v>312</v>
      </c>
      <c r="F39" s="22" t="s">
        <v>313</v>
      </c>
      <c r="G39" s="22" t="s">
        <v>314</v>
      </c>
      <c r="H39" s="22" t="s">
        <v>315</v>
      </c>
      <c r="I39" s="22" t="s">
        <v>316</v>
      </c>
      <c r="J39" s="20" t="s">
        <v>38</v>
      </c>
      <c r="K39" s="22" t="s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opLeftCell="A5" workbookViewId="0"/>
  </sheetViews>
  <sheetFormatPr defaultRowHeight="14.4" x14ac:dyDescent="0.3"/>
  <cols>
    <col min="1" max="1" width="4" customWidth="1"/>
    <col min="2" max="2" width="24" customWidth="1"/>
    <col min="3" max="5" width="16" customWidth="1"/>
    <col min="6" max="6" width="18" customWidth="1"/>
  </cols>
  <sheetData>
    <row r="2" spans="2:6" ht="25.05" customHeight="1" x14ac:dyDescent="0.4">
      <c r="B2" s="1" t="s">
        <v>0</v>
      </c>
    </row>
    <row r="3" spans="2:6" ht="18" customHeight="1" x14ac:dyDescent="0.3">
      <c r="B3" s="2" t="s">
        <v>1</v>
      </c>
    </row>
    <row r="5" spans="2:6" x14ac:dyDescent="0.3">
      <c r="B5" s="23" t="s">
        <v>2</v>
      </c>
      <c r="D5" s="23" t="s">
        <v>3</v>
      </c>
      <c r="F5" s="23" t="s">
        <v>4</v>
      </c>
    </row>
    <row r="6" spans="2:6" ht="23.4" x14ac:dyDescent="0.3">
      <c r="B6" s="3">
        <f>COUNTA('Test Cases'!A2:A39)</f>
        <v>38</v>
      </c>
      <c r="D6" s="4">
        <f>COUNTIF('Test Cases'!J2:J39, "Pass")</f>
        <v>38</v>
      </c>
      <c r="F6" s="5">
        <f>D6/B6</f>
        <v>1</v>
      </c>
    </row>
    <row r="9" spans="2:6" ht="17.399999999999999" x14ac:dyDescent="0.35">
      <c r="B9" s="6" t="s">
        <v>5</v>
      </c>
    </row>
    <row r="11" spans="2:6" ht="24" customHeight="1" x14ac:dyDescent="0.3">
      <c r="B11" s="7" t="s">
        <v>6</v>
      </c>
      <c r="C11" s="7" t="s">
        <v>7</v>
      </c>
      <c r="D11" s="7" t="s">
        <v>8</v>
      </c>
      <c r="E11" s="7" t="s">
        <v>9</v>
      </c>
      <c r="F11" s="7" t="s">
        <v>10</v>
      </c>
    </row>
    <row r="12" spans="2:6" ht="19.95" customHeight="1" x14ac:dyDescent="0.3">
      <c r="B12" s="8" t="s">
        <v>11</v>
      </c>
      <c r="C12" s="9">
        <f>COUNTIF('Test Cases'!C$2:C$39, B12)</f>
        <v>6</v>
      </c>
      <c r="D12" s="9">
        <f>COUNTIFS('Test Cases'!C$2:C$39, B12, 'Test Cases'!J$2:J$39, "Pass")</f>
        <v>6</v>
      </c>
      <c r="E12" s="9">
        <f t="shared" ref="E12:E19" si="0">C12-D12</f>
        <v>0</v>
      </c>
      <c r="F12" s="10">
        <f t="shared" ref="F12:F20" si="1">D12/C12</f>
        <v>1</v>
      </c>
    </row>
    <row r="13" spans="2:6" ht="19.95" customHeight="1" x14ac:dyDescent="0.3">
      <c r="B13" s="11" t="s">
        <v>12</v>
      </c>
      <c r="C13" s="12">
        <f>COUNTIF('Test Cases'!C$2:C$39, B13)</f>
        <v>6</v>
      </c>
      <c r="D13" s="12">
        <f>COUNTIFS('Test Cases'!C$2:C$39, B13, 'Test Cases'!J$2:J$39, "Pass")</f>
        <v>6</v>
      </c>
      <c r="E13" s="12">
        <f t="shared" si="0"/>
        <v>0</v>
      </c>
      <c r="F13" s="13">
        <f t="shared" si="1"/>
        <v>1</v>
      </c>
    </row>
    <row r="14" spans="2:6" ht="19.95" customHeight="1" x14ac:dyDescent="0.3">
      <c r="B14" s="8" t="s">
        <v>13</v>
      </c>
      <c r="C14" s="9">
        <f>COUNTIF('Test Cases'!C$2:C$39, B14)</f>
        <v>4</v>
      </c>
      <c r="D14" s="9">
        <f>COUNTIFS('Test Cases'!C$2:C$39, B14, 'Test Cases'!J$2:J$39, "Pass")</f>
        <v>4</v>
      </c>
      <c r="E14" s="9">
        <f t="shared" si="0"/>
        <v>0</v>
      </c>
      <c r="F14" s="10">
        <f t="shared" si="1"/>
        <v>1</v>
      </c>
    </row>
    <row r="15" spans="2:6" ht="19.95" customHeight="1" x14ac:dyDescent="0.3">
      <c r="B15" s="11" t="s">
        <v>14</v>
      </c>
      <c r="C15" s="12">
        <f>COUNTIF('Test Cases'!C$2:C$39, B15)</f>
        <v>3</v>
      </c>
      <c r="D15" s="12">
        <f>COUNTIFS('Test Cases'!C$2:C$39, B15, 'Test Cases'!J$2:J$39, "Pass")</f>
        <v>3</v>
      </c>
      <c r="E15" s="12">
        <f t="shared" si="0"/>
        <v>0</v>
      </c>
      <c r="F15" s="13">
        <f t="shared" si="1"/>
        <v>1</v>
      </c>
    </row>
    <row r="16" spans="2:6" ht="19.95" customHeight="1" x14ac:dyDescent="0.3">
      <c r="B16" s="8" t="s">
        <v>15</v>
      </c>
      <c r="C16" s="9">
        <f>COUNTIF('Test Cases'!C$2:C$39, B16)</f>
        <v>8</v>
      </c>
      <c r="D16" s="9">
        <f>COUNTIFS('Test Cases'!C$2:C$39, B16, 'Test Cases'!J$2:J$39, "Pass")</f>
        <v>8</v>
      </c>
      <c r="E16" s="9">
        <f t="shared" si="0"/>
        <v>0</v>
      </c>
      <c r="F16" s="10">
        <f t="shared" si="1"/>
        <v>1</v>
      </c>
    </row>
    <row r="17" spans="2:6" ht="19.95" customHeight="1" x14ac:dyDescent="0.3">
      <c r="B17" s="11" t="s">
        <v>16</v>
      </c>
      <c r="C17" s="12">
        <f>COUNTIF('Test Cases'!C$2:C$39, B17)</f>
        <v>5</v>
      </c>
      <c r="D17" s="12">
        <f>COUNTIFS('Test Cases'!C$2:C$39, B17, 'Test Cases'!J$2:J$39, "Pass")</f>
        <v>5</v>
      </c>
      <c r="E17" s="12">
        <f t="shared" si="0"/>
        <v>0</v>
      </c>
      <c r="F17" s="13">
        <f t="shared" si="1"/>
        <v>1</v>
      </c>
    </row>
    <row r="18" spans="2:6" ht="19.95" customHeight="1" x14ac:dyDescent="0.3">
      <c r="B18" s="8" t="s">
        <v>17</v>
      </c>
      <c r="C18" s="9">
        <f>COUNTIF('Test Cases'!C$2:C$39, B18)</f>
        <v>2</v>
      </c>
      <c r="D18" s="9">
        <f>COUNTIFS('Test Cases'!C$2:C$39, B18, 'Test Cases'!J$2:J$39, "Pass")</f>
        <v>2</v>
      </c>
      <c r="E18" s="9">
        <f t="shared" si="0"/>
        <v>0</v>
      </c>
      <c r="F18" s="10">
        <f t="shared" si="1"/>
        <v>1</v>
      </c>
    </row>
    <row r="19" spans="2:6" ht="19.95" customHeight="1" x14ac:dyDescent="0.3">
      <c r="B19" s="11" t="s">
        <v>18</v>
      </c>
      <c r="C19" s="12">
        <f>COUNTIF('Test Cases'!C$2:C$39, B19)</f>
        <v>4</v>
      </c>
      <c r="D19" s="12">
        <f>COUNTIFS('Test Cases'!C$2:C$39, B19, 'Test Cases'!J$2:J$39, "Pass")</f>
        <v>4</v>
      </c>
      <c r="E19" s="12">
        <f t="shared" si="0"/>
        <v>0</v>
      </c>
      <c r="F19" s="13">
        <f t="shared" si="1"/>
        <v>1</v>
      </c>
    </row>
    <row r="20" spans="2:6" ht="22.05" customHeight="1" x14ac:dyDescent="0.3">
      <c r="B20" s="14" t="s">
        <v>19</v>
      </c>
      <c r="C20" s="15">
        <f>SUM(C12:C19)</f>
        <v>38</v>
      </c>
      <c r="D20" s="15">
        <f>SUM(D12:D19)</f>
        <v>38</v>
      </c>
      <c r="E20" s="15">
        <f>SUM(E12:E19)</f>
        <v>0</v>
      </c>
      <c r="F20" s="16">
        <f t="shared" si="1"/>
        <v>1</v>
      </c>
    </row>
  </sheetData>
  <mergeCells count="3">
    <mergeCell ref="B5"/>
    <mergeCell ref="F5"/>
    <mergeCell ref="D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 Kathayat</cp:lastModifiedBy>
  <dcterms:created xsi:type="dcterms:W3CDTF">2026-07-28T12:30:16Z</dcterms:created>
  <dcterms:modified xsi:type="dcterms:W3CDTF">2026-07-28T12:33:34Z</dcterms:modified>
</cp:coreProperties>
</file>