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emk\Downloads\"/>
    </mc:Choice>
  </mc:AlternateContent>
  <xr:revisionPtr revIDLastSave="0" documentId="13_ncr:1_{C1AB34EA-2073-451B-AD56-41FF8C967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" sheetId="2" r:id="rId1"/>
    <sheet name="Defect Dashboar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 s="1"/>
  <c r="C14" i="1"/>
  <c r="D14" i="1" s="1"/>
  <c r="C13" i="1"/>
  <c r="D13" i="1" s="1"/>
  <c r="C12" i="1"/>
  <c r="D12" i="1" s="1"/>
  <c r="D6" i="1"/>
  <c r="F6" i="1" s="1"/>
  <c r="B6" i="1"/>
  <c r="D16" i="1" l="1"/>
  <c r="C16" i="1"/>
</calcChain>
</file>

<file path=xl/sharedStrings.xml><?xml version="1.0" encoding="utf-8"?>
<sst xmlns="http://schemas.openxmlformats.org/spreadsheetml/2006/main" count="174" uniqueCount="115">
  <si>
    <t>QA Defect Tracking Dashboard</t>
  </si>
  <si>
    <t>Summary of Defect Metrics, Severity Breakdown &amp; Resolution Status</t>
  </si>
  <si>
    <t>Total Defects</t>
  </si>
  <si>
    <t>Fixed Defects</t>
  </si>
  <si>
    <t>Resolution Rate</t>
  </si>
  <si>
    <t>Defect Severity Breakdown</t>
  </si>
  <si>
    <t>Severity Level</t>
  </si>
  <si>
    <t>Count</t>
  </si>
  <si>
    <t>Percentage</t>
  </si>
  <si>
    <t>Critical</t>
  </si>
  <si>
    <t>High</t>
  </si>
  <si>
    <t>Medium</t>
  </si>
  <si>
    <t>Low</t>
  </si>
  <si>
    <t>Total</t>
  </si>
  <si>
    <t>Defect ID</t>
  </si>
  <si>
    <t>Defect Title / Summary</t>
  </si>
  <si>
    <t>Module / Feature</t>
  </si>
  <si>
    <t>Environment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</si>
  <si>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</si>
  <si>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</si>
  <si>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</si>
  <si>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</si>
  <si>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</si>
  <si>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</si>
  <si>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</si>
  <si>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Login fails when JWT token expires abruptly</t>
  </si>
  <si>
    <t>Login</t>
  </si>
  <si>
    <t>Windows 11 / Chrome</t>
  </si>
  <si>
    <t>1. Log in successfully.
2. Wait for token expiration or invalidate token.
3. Attempt to fetch user chats.</t>
  </si>
  <si>
    <t>User should be redirected to login with an appropriate session expired message.</t>
  </si>
  <si>
    <t>API 401 Error returned without proper user redirection or handling.</t>
  </si>
  <si>
    <t>Fixed</t>
  </si>
  <si>
    <t>BUG-002</t>
  </si>
  <si>
    <t>Duplicate email registration allowed under high latency</t>
  </si>
  <si>
    <t>Registration</t>
  </si>
  <si>
    <t>1. Open Registration page.
2. Submit duplicate email twice rapidly.</t>
  </si>
  <si>
    <t>Prevent registration and display 'Email already exists' error message.</t>
  </si>
  <si>
    <t>Duplicate account created in database due to race condition.</t>
  </si>
  <si>
    <t>BUG-003</t>
  </si>
  <si>
    <t>Empty message allowed to be sent in chat interface</t>
  </si>
  <si>
    <t>Chat</t>
  </si>
  <si>
    <t>Windows 11 / Edge</t>
  </si>
  <si>
    <t>1. Open chat conversation.
2. Keep message input completely blank.
3. Click Send icon.</t>
  </si>
  <si>
    <t>Empty message should not be sent; validation warning should appear.</t>
  </si>
  <si>
    <t>Sent successfully as a blank space bubble.</t>
  </si>
  <si>
    <t>BUG-004</t>
  </si>
  <si>
    <t>User search returns duplicate entries for matching keywords</t>
  </si>
  <si>
    <t>Search</t>
  </si>
  <si>
    <t>Windows 11 / Firefox</t>
  </si>
  <si>
    <t>1. Navigate to Search.
2. Search keyword 'Prem'.</t>
  </si>
  <si>
    <t>Unique results matching the query should be displayed.</t>
  </si>
  <si>
    <t>Duplicates of the same user profile appeared in search list.</t>
  </si>
  <si>
    <t>BUG-005</t>
  </si>
  <si>
    <t>Profile picture upload returns 500 error on valid PNG format</t>
  </si>
  <si>
    <t>Profile</t>
  </si>
  <si>
    <t>1. Open Profile.
2. Upload a valid 800KB PNG image.
3. Click Save.</t>
  </si>
  <si>
    <t>Upload successfully and display the new profile picture immediately.</t>
  </si>
  <si>
    <t>Server 500 Internal Server Error thrown during file processing.</t>
  </si>
  <si>
    <t>BUG-006</t>
  </si>
  <si>
    <t>Socket disconnection fails to trigger automatic reconnection</t>
  </si>
  <si>
    <t>Socket.IO</t>
  </si>
  <si>
    <t>1. Disconnect internet network connection.
2. Reconnect internet after 10 seconds.</t>
  </si>
  <si>
    <t>Auto reconnect successfully and resume real-time message stream.</t>
  </si>
  <si>
    <t>Offline state persisted and required manual page refresh.</t>
  </si>
  <si>
    <t>BUG-007</t>
  </si>
  <si>
    <t>Online status remains active after user logs out</t>
  </si>
  <si>
    <t>1. Log out User B.
2. Check User B's status from User A's contact list.</t>
  </si>
  <si>
    <t>Show Offline status instantly.</t>
  </si>
  <si>
    <t>Remains Online until hard socket timeout.</t>
  </si>
  <si>
    <t>BUG-008</t>
  </si>
  <si>
    <t>Typing indicator does not disappear after user stops typing</t>
  </si>
  <si>
    <t>1. User A types a message.
2. User A stops typing and waits 5 seconds.</t>
  </si>
  <si>
    <t>Hide indicator when typing ceases.</t>
  </si>
  <si>
    <t>Stays visible indefinitely until a message is sent.</t>
  </si>
  <si>
    <t>BUG-009</t>
  </si>
  <si>
    <t>Long message text overflows chat bubble container width</t>
  </si>
  <si>
    <t>Chat UI</t>
  </si>
  <si>
    <t>1. Send a 1000+ character continuous string without spaces.</t>
  </si>
  <si>
    <t>Wrap text neatly inside the chat bubble bounds.</t>
  </si>
  <si>
    <t>Distorted UI layout breaking container boundaries.</t>
  </si>
  <si>
    <t>BUG-010</t>
  </si>
  <si>
    <t>Protected API routes accessible without authorization header</t>
  </si>
  <si>
    <t>Security</t>
  </si>
  <si>
    <t>Windows 11 / Postman</t>
  </si>
  <si>
    <t>1. Send GET request to /api/users/profile without token.</t>
  </si>
  <si>
    <t>API returns 401 Unauthorized response.</t>
  </si>
  <si>
    <t>API returned 200 OK exposing sensitive profile records.</t>
  </si>
  <si>
    <t>BUG-011</t>
  </si>
  <si>
    <t>Logout does not clear local storage session token</t>
  </si>
  <si>
    <t>Authentication</t>
  </si>
  <si>
    <t>1. Click Logout.
2. Use browser back button.</t>
  </si>
  <si>
    <t>No dashboard access; redirected to login page.</t>
  </si>
  <si>
    <t>Dashboard loaded using cached token in local storage.</t>
  </si>
  <si>
    <t>BUG-012</t>
  </si>
  <si>
    <t>Invalid email format bypasses client-side validation</t>
  </si>
  <si>
    <t>1. Enter 'premgmail.com' (missing @) in email field.
2. Submit.</t>
  </si>
  <si>
    <t>Error message displayed for invalid email format.</t>
  </si>
  <si>
    <t>Allowed registration request to hit backend server.</t>
  </si>
  <si>
    <t>BUG-013</t>
  </si>
  <si>
    <t>Message timestamp displays incorrect timezone offset</t>
  </si>
  <si>
    <t>1. Send a chat message.
2. Verify displayed timestamp against system time.</t>
  </si>
  <si>
    <t>Actual time matching user's local timezone.</t>
  </si>
  <si>
    <t>Incorrect time offset displayed (UTC instead of local time).</t>
  </si>
  <si>
    <t>BUG-014</t>
  </si>
  <si>
    <t>Search bar fails when special characters are entered</t>
  </si>
  <si>
    <t>1. Enter special characters like '%#@!' into search bar.</t>
  </si>
  <si>
    <t>Find results gracefully with 'No users found' message.</t>
  </si>
  <si>
    <t>Not found error / unhandled exception in console.</t>
  </si>
  <si>
    <t>BUG-015</t>
  </si>
  <si>
    <t>Backend crashes on abrupt MongoDB connection loss</t>
  </si>
  <si>
    <t>Backend</t>
  </si>
  <si>
    <t>Ubuntu Server / Node.js</t>
  </si>
  <si>
    <t>1. Terminate MongoDB service abruptly during active user query.</t>
  </si>
  <si>
    <t>Show DB error gracefully and attempt reconnection.</t>
  </si>
  <si>
    <t>Backend crashed completely with unhandled promise rejection.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</si>
</sst>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375623"/>
      <name val="Calibri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000000"/>
      <name val="Calibri"/>
    </font>
    <font>
      <b/>
      <sz val="18"/>
      <color rgb="FF1F4E78"/>
      <name val="Calibri"/>
    </font>
    <font>
      <b/>
      <sz val="18"/>
      <color rgb="FF375623"/>
      <name val="Calibri"/>
    </font>
    <font>
      <b/>
      <sz val="13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AEEF3"/>
        <bgColor rgb="FFEAEEF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3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Defects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Dashboard'!$C$11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'Defect Dashboard'!$B$12:$B$15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'Defect Dashboard'!$C$12:$C$15</c:f>
              <c:numCache>
                <c:formatCode>#,##0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3-4FD2-9C2E-13E577BA8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Defects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topLeftCell="B1" workbookViewId="0">
      <pane ySplit="1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35" customWidth="1"/>
    <col min="3" max="3" width="20" customWidth="1"/>
    <col min="4" max="4" width="22" customWidth="1"/>
    <col min="5" max="5" width="14" customWidth="1"/>
    <col min="6" max="6" width="12" customWidth="1"/>
    <col min="7" max="9" width="35" customWidth="1"/>
    <col min="10" max="10" width="12" customWidth="1"/>
  </cols>
  <sheetData>
    <row r="1" spans="1:10" ht="28.05" customHeight="1" x14ac:dyDescent="0.3">
      <c r="A1" s="18" t="s">
        <v>14</v>
      </c>
      <c r="B1" s="18" t="s">
        <v>15</v>
      </c>
      <c r="C1" s="18" t="s">
        <v>16</v>
      </c>
      <c r="D1" s="18" t="s">
        <v>17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</row>
    <row r="2" spans="1:10" ht="45" customHeight="1" x14ac:dyDescent="0.3">
      <c r="A2" s="19" t="s">
        <v>24</v>
      </c>
      <c r="B2" s="20" t="s">
        <v>25</v>
      </c>
      <c r="C2" s="20" t="s">
        <v>26</v>
      </c>
      <c r="D2" s="20" t="s">
        <v>27</v>
      </c>
      <c r="E2" s="19" t="s">
        <v>9</v>
      </c>
      <c r="F2" s="19" t="s">
        <v>10</v>
      </c>
      <c r="G2" s="20" t="s">
        <v>28</v>
      </c>
      <c r="H2" s="20" t="s">
        <v>29</v>
      </c>
      <c r="I2" s="20" t="s">
        <v>30</v>
      </c>
      <c r="J2" s="21" t="s">
        <v>31</v>
      </c>
    </row>
    <row r="3" spans="1:10" ht="45" customHeight="1" x14ac:dyDescent="0.3">
      <c r="A3" s="22" t="s">
        <v>32</v>
      </c>
      <c r="B3" s="23" t="s">
        <v>33</v>
      </c>
      <c r="C3" s="23" t="s">
        <v>34</v>
      </c>
      <c r="D3" s="23" t="s">
        <v>27</v>
      </c>
      <c r="E3" s="22" t="s">
        <v>10</v>
      </c>
      <c r="F3" s="22" t="s">
        <v>10</v>
      </c>
      <c r="G3" s="23" t="s">
        <v>35</v>
      </c>
      <c r="H3" s="23" t="s">
        <v>36</v>
      </c>
      <c r="I3" s="23" t="s">
        <v>37</v>
      </c>
      <c r="J3" s="21" t="s">
        <v>31</v>
      </c>
    </row>
    <row r="4" spans="1:10" ht="45" customHeight="1" x14ac:dyDescent="0.3">
      <c r="A4" s="19" t="s">
        <v>38</v>
      </c>
      <c r="B4" s="20" t="s">
        <v>39</v>
      </c>
      <c r="C4" s="20" t="s">
        <v>40</v>
      </c>
      <c r="D4" s="20" t="s">
        <v>41</v>
      </c>
      <c r="E4" s="19" t="s">
        <v>11</v>
      </c>
      <c r="F4" s="19" t="s">
        <v>11</v>
      </c>
      <c r="G4" s="20" t="s">
        <v>42</v>
      </c>
      <c r="H4" s="20" t="s">
        <v>43</v>
      </c>
      <c r="I4" s="20" t="s">
        <v>44</v>
      </c>
      <c r="J4" s="21" t="s">
        <v>31</v>
      </c>
    </row>
    <row r="5" spans="1:10" ht="45" customHeight="1" x14ac:dyDescent="0.3">
      <c r="A5" s="22" t="s">
        <v>45</v>
      </c>
      <c r="B5" s="23" t="s">
        <v>46</v>
      </c>
      <c r="C5" s="23" t="s">
        <v>47</v>
      </c>
      <c r="D5" s="23" t="s">
        <v>48</v>
      </c>
      <c r="E5" s="22" t="s">
        <v>12</v>
      </c>
      <c r="F5" s="22" t="s">
        <v>12</v>
      </c>
      <c r="G5" s="23" t="s">
        <v>49</v>
      </c>
      <c r="H5" s="23" t="s">
        <v>50</v>
      </c>
      <c r="I5" s="23" t="s">
        <v>51</v>
      </c>
      <c r="J5" s="21" t="s">
        <v>31</v>
      </c>
    </row>
    <row r="6" spans="1:10" ht="45" customHeight="1" x14ac:dyDescent="0.3">
      <c r="A6" s="19" t="s">
        <v>52</v>
      </c>
      <c r="B6" s="20" t="s">
        <v>53</v>
      </c>
      <c r="C6" s="20" t="s">
        <v>54</v>
      </c>
      <c r="D6" s="20" t="s">
        <v>27</v>
      </c>
      <c r="E6" s="19" t="s">
        <v>10</v>
      </c>
      <c r="F6" s="19" t="s">
        <v>10</v>
      </c>
      <c r="G6" s="20" t="s">
        <v>55</v>
      </c>
      <c r="H6" s="20" t="s">
        <v>56</v>
      </c>
      <c r="I6" s="20" t="s">
        <v>57</v>
      </c>
      <c r="J6" s="21" t="s">
        <v>31</v>
      </c>
    </row>
    <row r="7" spans="1:10" ht="45" customHeight="1" x14ac:dyDescent="0.3">
      <c r="A7" s="22" t="s">
        <v>58</v>
      </c>
      <c r="B7" s="23" t="s">
        <v>59</v>
      </c>
      <c r="C7" s="23" t="s">
        <v>60</v>
      </c>
      <c r="D7" s="23" t="s">
        <v>27</v>
      </c>
      <c r="E7" s="22" t="s">
        <v>10</v>
      </c>
      <c r="F7" s="22" t="s">
        <v>10</v>
      </c>
      <c r="G7" s="23" t="s">
        <v>61</v>
      </c>
      <c r="H7" s="23" t="s">
        <v>62</v>
      </c>
      <c r="I7" s="23" t="s">
        <v>63</v>
      </c>
      <c r="J7" s="21" t="s">
        <v>31</v>
      </c>
    </row>
    <row r="8" spans="1:10" ht="45" customHeight="1" x14ac:dyDescent="0.3">
      <c r="A8" s="19" t="s">
        <v>64</v>
      </c>
      <c r="B8" s="20" t="s">
        <v>65</v>
      </c>
      <c r="C8" s="20" t="s">
        <v>60</v>
      </c>
      <c r="D8" s="20" t="s">
        <v>41</v>
      </c>
      <c r="E8" s="19" t="s">
        <v>11</v>
      </c>
      <c r="F8" s="19" t="s">
        <v>11</v>
      </c>
      <c r="G8" s="20" t="s">
        <v>66</v>
      </c>
      <c r="H8" s="20" t="s">
        <v>67</v>
      </c>
      <c r="I8" s="20" t="s">
        <v>68</v>
      </c>
      <c r="J8" s="21" t="s">
        <v>31</v>
      </c>
    </row>
    <row r="9" spans="1:10" ht="45" customHeight="1" x14ac:dyDescent="0.3">
      <c r="A9" s="22" t="s">
        <v>69</v>
      </c>
      <c r="B9" s="23" t="s">
        <v>70</v>
      </c>
      <c r="C9" s="23" t="s">
        <v>60</v>
      </c>
      <c r="D9" s="23" t="s">
        <v>48</v>
      </c>
      <c r="E9" s="22" t="s">
        <v>11</v>
      </c>
      <c r="F9" s="22" t="s">
        <v>11</v>
      </c>
      <c r="G9" s="23" t="s">
        <v>71</v>
      </c>
      <c r="H9" s="23" t="s">
        <v>72</v>
      </c>
      <c r="I9" s="23" t="s">
        <v>73</v>
      </c>
      <c r="J9" s="21" t="s">
        <v>31</v>
      </c>
    </row>
    <row r="10" spans="1:10" ht="45" customHeight="1" x14ac:dyDescent="0.3">
      <c r="A10" s="19" t="s">
        <v>74</v>
      </c>
      <c r="B10" s="20" t="s">
        <v>75</v>
      </c>
      <c r="C10" s="20" t="s">
        <v>76</v>
      </c>
      <c r="D10" s="20" t="s">
        <v>27</v>
      </c>
      <c r="E10" s="19" t="s">
        <v>12</v>
      </c>
      <c r="F10" s="19" t="s">
        <v>12</v>
      </c>
      <c r="G10" s="20" t="s">
        <v>77</v>
      </c>
      <c r="H10" s="20" t="s">
        <v>78</v>
      </c>
      <c r="I10" s="20" t="s">
        <v>79</v>
      </c>
      <c r="J10" s="21" t="s">
        <v>31</v>
      </c>
    </row>
    <row r="11" spans="1:10" ht="45" customHeight="1" x14ac:dyDescent="0.3">
      <c r="A11" s="22" t="s">
        <v>80</v>
      </c>
      <c r="B11" s="23" t="s">
        <v>81</v>
      </c>
      <c r="C11" s="23" t="s">
        <v>82</v>
      </c>
      <c r="D11" s="23" t="s">
        <v>83</v>
      </c>
      <c r="E11" s="22" t="s">
        <v>9</v>
      </c>
      <c r="F11" s="22" t="s">
        <v>10</v>
      </c>
      <c r="G11" s="23" t="s">
        <v>84</v>
      </c>
      <c r="H11" s="23" t="s">
        <v>85</v>
      </c>
      <c r="I11" s="23" t="s">
        <v>86</v>
      </c>
      <c r="J11" s="21" t="s">
        <v>31</v>
      </c>
    </row>
    <row r="12" spans="1:10" ht="45" customHeight="1" x14ac:dyDescent="0.3">
      <c r="A12" s="19" t="s">
        <v>87</v>
      </c>
      <c r="B12" s="20" t="s">
        <v>88</v>
      </c>
      <c r="C12" s="20" t="s">
        <v>89</v>
      </c>
      <c r="D12" s="20" t="s">
        <v>27</v>
      </c>
      <c r="E12" s="19" t="s">
        <v>10</v>
      </c>
      <c r="F12" s="19" t="s">
        <v>10</v>
      </c>
      <c r="G12" s="20" t="s">
        <v>90</v>
      </c>
      <c r="H12" s="20" t="s">
        <v>91</v>
      </c>
      <c r="I12" s="20" t="s">
        <v>92</v>
      </c>
      <c r="J12" s="21" t="s">
        <v>31</v>
      </c>
    </row>
    <row r="13" spans="1:10" ht="45" customHeight="1" x14ac:dyDescent="0.3">
      <c r="A13" s="22" t="s">
        <v>93</v>
      </c>
      <c r="B13" s="23" t="s">
        <v>94</v>
      </c>
      <c r="C13" s="23" t="s">
        <v>34</v>
      </c>
      <c r="D13" s="23" t="s">
        <v>41</v>
      </c>
      <c r="E13" s="22" t="s">
        <v>11</v>
      </c>
      <c r="F13" s="22" t="s">
        <v>11</v>
      </c>
      <c r="G13" s="23" t="s">
        <v>95</v>
      </c>
      <c r="H13" s="23" t="s">
        <v>96</v>
      </c>
      <c r="I13" s="23" t="s">
        <v>97</v>
      </c>
      <c r="J13" s="21" t="s">
        <v>31</v>
      </c>
    </row>
    <row r="14" spans="1:10" ht="45" customHeight="1" x14ac:dyDescent="0.3">
      <c r="A14" s="19" t="s">
        <v>98</v>
      </c>
      <c r="B14" s="20" t="s">
        <v>99</v>
      </c>
      <c r="C14" s="20" t="s">
        <v>40</v>
      </c>
      <c r="D14" s="20" t="s">
        <v>48</v>
      </c>
      <c r="E14" s="19" t="s">
        <v>12</v>
      </c>
      <c r="F14" s="19" t="s">
        <v>12</v>
      </c>
      <c r="G14" s="20" t="s">
        <v>100</v>
      </c>
      <c r="H14" s="20" t="s">
        <v>101</v>
      </c>
      <c r="I14" s="20" t="s">
        <v>102</v>
      </c>
      <c r="J14" s="21" t="s">
        <v>31</v>
      </c>
    </row>
    <row r="15" spans="1:10" ht="45" customHeight="1" x14ac:dyDescent="0.3">
      <c r="A15" s="22" t="s">
        <v>103</v>
      </c>
      <c r="B15" s="23" t="s">
        <v>104</v>
      </c>
      <c r="C15" s="23" t="s">
        <v>47</v>
      </c>
      <c r="D15" s="23" t="s">
        <v>27</v>
      </c>
      <c r="E15" s="22" t="s">
        <v>11</v>
      </c>
      <c r="F15" s="22" t="s">
        <v>11</v>
      </c>
      <c r="G15" s="23" t="s">
        <v>105</v>
      </c>
      <c r="H15" s="23" t="s">
        <v>106</v>
      </c>
      <c r="I15" s="23" t="s">
        <v>107</v>
      </c>
      <c r="J15" s="21" t="s">
        <v>31</v>
      </c>
    </row>
    <row r="16" spans="1:10" ht="45" customHeight="1" x14ac:dyDescent="0.3">
      <c r="A16" s="19" t="s">
        <v>108</v>
      </c>
      <c r="B16" s="20" t="s">
        <v>109</v>
      </c>
      <c r="C16" s="20" t="s">
        <v>110</v>
      </c>
      <c r="D16" s="20" t="s">
        <v>111</v>
      </c>
      <c r="E16" s="19" t="s">
        <v>9</v>
      </c>
      <c r="F16" s="19" t="s">
        <v>10</v>
      </c>
      <c r="G16" s="20" t="s">
        <v>112</v>
      </c>
      <c r="H16" s="20" t="s">
        <v>113</v>
      </c>
      <c r="I16" s="20" t="s">
        <v>114</v>
      </c>
      <c r="J16" s="2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workbookViewId="0"/>
  </sheetViews>
  <sheetFormatPr defaultRowHeight="14.4" x14ac:dyDescent="0.3"/>
  <cols>
    <col min="1" max="1" width="4" customWidth="1"/>
    <col min="2" max="2" width="24" customWidth="1"/>
    <col min="3" max="5" width="16" customWidth="1"/>
    <col min="6" max="6" width="18" customWidth="1"/>
  </cols>
  <sheetData>
    <row r="2" spans="2:6" ht="25.05" customHeight="1" x14ac:dyDescent="0.4">
      <c r="B2" s="1" t="s">
        <v>0</v>
      </c>
    </row>
    <row r="3" spans="2:6" ht="18" customHeight="1" x14ac:dyDescent="0.3">
      <c r="B3" s="2" t="s">
        <v>1</v>
      </c>
    </row>
    <row r="5" spans="2:6" x14ac:dyDescent="0.3">
      <c r="B5" s="3" t="s">
        <v>2</v>
      </c>
      <c r="D5" s="3" t="s">
        <v>3</v>
      </c>
      <c r="F5" s="3" t="s">
        <v>4</v>
      </c>
    </row>
    <row r="6" spans="2:6" ht="23.4" x14ac:dyDescent="0.3">
      <c r="B6" s="4">
        <f>COUNTA('Defect Log'!A2:A16)</f>
        <v>15</v>
      </c>
      <c r="D6" s="5">
        <f>COUNTIF('Defect Log'!J2:J16, "Fixed")</f>
        <v>15</v>
      </c>
      <c r="F6" s="6">
        <f>D6/B6</f>
        <v>1</v>
      </c>
    </row>
    <row r="9" spans="2:6" ht="17.399999999999999" x14ac:dyDescent="0.35">
      <c r="B9" s="7" t="s">
        <v>5</v>
      </c>
    </row>
    <row r="11" spans="2:6" ht="24" customHeight="1" x14ac:dyDescent="0.3">
      <c r="B11" s="8" t="s">
        <v>6</v>
      </c>
      <c r="C11" s="8" t="s">
        <v>7</v>
      </c>
      <c r="D11" s="8" t="s">
        <v>8</v>
      </c>
    </row>
    <row r="12" spans="2:6" ht="19.95" customHeight="1" x14ac:dyDescent="0.3">
      <c r="B12" s="9" t="s">
        <v>9</v>
      </c>
      <c r="C12" s="10">
        <f>COUNTIF('Defect Log'!E$2:E$16, B12)</f>
        <v>3</v>
      </c>
      <c r="D12" s="11">
        <f>C12/$B$6</f>
        <v>0.2</v>
      </c>
    </row>
    <row r="13" spans="2:6" ht="19.95" customHeight="1" x14ac:dyDescent="0.3">
      <c r="B13" s="12" t="s">
        <v>10</v>
      </c>
      <c r="C13" s="13">
        <f>COUNTIF('Defect Log'!E$2:E$16, B13)</f>
        <v>4</v>
      </c>
      <c r="D13" s="14">
        <f>C13/$B$6</f>
        <v>0.26666666666666666</v>
      </c>
    </row>
    <row r="14" spans="2:6" ht="19.95" customHeight="1" x14ac:dyDescent="0.3">
      <c r="B14" s="9" t="s">
        <v>11</v>
      </c>
      <c r="C14" s="10">
        <f>COUNTIF('Defect Log'!E$2:E$16, B14)</f>
        <v>5</v>
      </c>
      <c r="D14" s="11">
        <f>C14/$B$6</f>
        <v>0.33333333333333331</v>
      </c>
    </row>
    <row r="15" spans="2:6" ht="19.95" customHeight="1" x14ac:dyDescent="0.3">
      <c r="B15" s="12" t="s">
        <v>12</v>
      </c>
      <c r="C15" s="13">
        <f>COUNTIF('Defect Log'!E$2:E$16, B15)</f>
        <v>3</v>
      </c>
      <c r="D15" s="14">
        <f>C15/$B$6</f>
        <v>0.2</v>
      </c>
    </row>
    <row r="16" spans="2:6" ht="22.05" customHeight="1" x14ac:dyDescent="0.3">
      <c r="B16" s="15" t="s">
        <v>13</v>
      </c>
      <c r="C16" s="16">
        <f>SUM(C12:C15)</f>
        <v>15</v>
      </c>
      <c r="D16" s="17">
        <f>SUM(D12:D15)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Log</vt:lpstr>
      <vt:lpstr>Defect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 Kathayat</cp:lastModifiedBy>
  <dcterms:created xsi:type="dcterms:W3CDTF">2026-07-28T12:40:20Z</dcterms:created>
  <dcterms:modified xsi:type="dcterms:W3CDTF">2026-07-28T12:41:54Z</dcterms:modified>
</cp:coreProperties>
</file>